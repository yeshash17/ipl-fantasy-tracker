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sold" sheetId="1" r:id="rId4"/>
    <sheet state="visible" name="Summary" sheetId="2" r:id="rId5"/>
    <sheet state="visible" name="DK" sheetId="3" r:id="rId6"/>
    <sheet state="visible" name="Anand" sheetId="4" r:id="rId7"/>
    <sheet state="visible" name="Shash" sheetId="5" r:id="rId8"/>
    <sheet state="visible" name="Naveen + Sujeeth" sheetId="6" r:id="rId9"/>
    <sheet state="visible" name="Roshan" sheetId="7" r:id="rId10"/>
    <sheet state="visible" name="Yesh" sheetId="8" r:id="rId11"/>
    <sheet state="visible" name="Siddharth" sheetId="9" r:id="rId12"/>
    <sheet state="visible" name="NA" sheetId="10" r:id="rId13"/>
  </sheets>
  <definedNames/>
  <calcPr/>
  <extLst>
    <ext uri="GoogleSheetsCustomDataVersion2">
      <go:sheetsCustomData xmlns:go="http://customooxmlschemas.google.com/" r:id="rId14" roundtripDataChecksum="KbX0l6/z0DfVjYazCtK1fCSmo6BUwAOqeqCMuXpC10c="/>
    </ext>
  </extLst>
</workbook>
</file>

<file path=xl/sharedStrings.xml><?xml version="1.0" encoding="utf-8"?>
<sst xmlns="http://schemas.openxmlformats.org/spreadsheetml/2006/main" count="621" uniqueCount="288">
  <si>
    <t>Unsold Player</t>
  </si>
  <si>
    <t>Team</t>
  </si>
  <si>
    <t>Jamie Overton</t>
  </si>
  <si>
    <t>CSK</t>
  </si>
  <si>
    <t>Ramakrishna Ghosh</t>
  </si>
  <si>
    <t>Gurjapneet</t>
  </si>
  <si>
    <t>Shreyas</t>
  </si>
  <si>
    <t>Karthik Sharma</t>
  </si>
  <si>
    <t>Matthew Short</t>
  </si>
  <si>
    <t>Aman Khan</t>
  </si>
  <si>
    <t>Sarfaraz Khan</t>
  </si>
  <si>
    <t>Rahul Chahar</t>
  </si>
  <si>
    <t>Ajay Mandal</t>
  </si>
  <si>
    <t>DC</t>
  </si>
  <si>
    <t>Madhav Tiwari</t>
  </si>
  <si>
    <t>Tripurna Vijay</t>
  </si>
  <si>
    <t>Ben Duckket</t>
  </si>
  <si>
    <t>Sahil Parakh</t>
  </si>
  <si>
    <t>Shaw</t>
  </si>
  <si>
    <t>Kyle Jamieson</t>
  </si>
  <si>
    <t>Kushagara</t>
  </si>
  <si>
    <t>GT</t>
  </si>
  <si>
    <t>Anuj Rawat</t>
  </si>
  <si>
    <t>N Sindhu</t>
  </si>
  <si>
    <t>Arshad khan</t>
  </si>
  <si>
    <t>GS Brar</t>
  </si>
  <si>
    <t>M Suthar</t>
  </si>
  <si>
    <t>J Yadav</t>
  </si>
  <si>
    <t>T Banton</t>
  </si>
  <si>
    <t>Pritiv Raj Yarra</t>
  </si>
  <si>
    <t>Luke Wood</t>
  </si>
  <si>
    <t>Swapnil Singh</t>
  </si>
  <si>
    <t>RCB</t>
  </si>
  <si>
    <t>Yash Dayal</t>
  </si>
  <si>
    <t>N Thusara</t>
  </si>
  <si>
    <t>Rashik Salam</t>
  </si>
  <si>
    <t>M Yadaz</t>
  </si>
  <si>
    <t>A Singh</t>
  </si>
  <si>
    <t>S Deshwal</t>
  </si>
  <si>
    <t>J Cox</t>
  </si>
  <si>
    <t>V Ostwal</t>
  </si>
  <si>
    <t>Vihaan Malhotra</t>
  </si>
  <si>
    <t>Kanishk Chouhan</t>
  </si>
  <si>
    <t>Shubham Dubey</t>
  </si>
  <si>
    <t>RR</t>
  </si>
  <si>
    <t xml:space="preserve">L D Pretorious </t>
  </si>
  <si>
    <t>Y S Charak</t>
  </si>
  <si>
    <t>Mphaka</t>
  </si>
  <si>
    <t>Sushant Mishra</t>
  </si>
  <si>
    <t>Yash Raj Punja</t>
  </si>
  <si>
    <t>V Puthur</t>
  </si>
  <si>
    <t>Ravi Singh</t>
  </si>
  <si>
    <t>Aman Rao</t>
  </si>
  <si>
    <t>Brijesh Sharma</t>
  </si>
  <si>
    <t>Adam Milne</t>
  </si>
  <si>
    <t>K Sen</t>
  </si>
  <si>
    <t>R Minz</t>
  </si>
  <si>
    <t>MI</t>
  </si>
  <si>
    <t>Raj Bawa</t>
  </si>
  <si>
    <t>Raghu Sharma</t>
  </si>
  <si>
    <t>A Ghafankar</t>
  </si>
  <si>
    <t>Rutherford</t>
  </si>
  <si>
    <t>D Malewar</t>
  </si>
  <si>
    <t>M Izhar</t>
  </si>
  <si>
    <t>Ankolekar</t>
  </si>
  <si>
    <t>Mayank Rawat</t>
  </si>
  <si>
    <t>Musheer Khan</t>
  </si>
  <si>
    <t>PK</t>
  </si>
  <si>
    <t>Pyala Avinash</t>
  </si>
  <si>
    <t>H Pannu</t>
  </si>
  <si>
    <t>Suryash Shedge</t>
  </si>
  <si>
    <t>M Owen</t>
  </si>
  <si>
    <t>Vishnu Vinod</t>
  </si>
  <si>
    <t>Ben Dwarshus</t>
  </si>
  <si>
    <t>Pravin Dubey</t>
  </si>
  <si>
    <t>Vishal Nishad</t>
  </si>
  <si>
    <t>Anukul Roy</t>
  </si>
  <si>
    <t>KKR</t>
  </si>
  <si>
    <t>R Singh</t>
  </si>
  <si>
    <t>R Powell</t>
  </si>
  <si>
    <t>I Malik</t>
  </si>
  <si>
    <t>Pathirana</t>
  </si>
  <si>
    <t>T Singh</t>
  </si>
  <si>
    <t>Karthik Tyagi</t>
  </si>
  <si>
    <t>p Solanki</t>
  </si>
  <si>
    <t>R Tripathi</t>
  </si>
  <si>
    <t>Sm Ranjan</t>
  </si>
  <si>
    <t>D Kamra</t>
  </si>
  <si>
    <t>A Varma</t>
  </si>
  <si>
    <t>SRH</t>
  </si>
  <si>
    <t>R Smaran</t>
  </si>
  <si>
    <t>Kamindu Mendis</t>
  </si>
  <si>
    <t>Baydon Carse</t>
  </si>
  <si>
    <t>J Udankat</t>
  </si>
  <si>
    <t>Malinga</t>
  </si>
  <si>
    <t>Z Ansari</t>
  </si>
  <si>
    <t>Shivang Kumar</t>
  </si>
  <si>
    <t>Arora</t>
  </si>
  <si>
    <t>Sakuib Hussain</t>
  </si>
  <si>
    <t>O Tarmale</t>
  </si>
  <si>
    <t>Amit Kumar</t>
  </si>
  <si>
    <t>p Hinge</t>
  </si>
  <si>
    <t>K Fuletra</t>
  </si>
  <si>
    <t>Liam Livingston</t>
  </si>
  <si>
    <t>S Mavi</t>
  </si>
  <si>
    <t>M Breetzke</t>
  </si>
  <si>
    <t>LSG</t>
  </si>
  <si>
    <t>H Singh</t>
  </si>
  <si>
    <t>Arshin Kulkarni</t>
  </si>
  <si>
    <t>Mayank Yadav</t>
  </si>
  <si>
    <t>M Siddharth</t>
  </si>
  <si>
    <t>P Yadav</t>
  </si>
  <si>
    <t>Akash Singh</t>
  </si>
  <si>
    <t>A Tendulkar</t>
  </si>
  <si>
    <t>Mukul Choudary</t>
  </si>
  <si>
    <t>Naman Tiwari</t>
  </si>
  <si>
    <t>A Raghuwanshi</t>
  </si>
  <si>
    <t>J Inglis</t>
  </si>
  <si>
    <t>IPL 2026</t>
  </si>
  <si>
    <t>Purse left (Cr)</t>
  </si>
  <si>
    <t>Batsman</t>
  </si>
  <si>
    <t>Bowler</t>
  </si>
  <si>
    <t>Wkt Keeper</t>
  </si>
  <si>
    <t>All-Rounder</t>
  </si>
  <si>
    <t>Total Players</t>
  </si>
  <si>
    <t>DK</t>
  </si>
  <si>
    <t>Anand</t>
  </si>
  <si>
    <t>Shash</t>
  </si>
  <si>
    <t>Naveen+Sujeeth</t>
  </si>
  <si>
    <t>Roshan</t>
  </si>
  <si>
    <t>Yesh</t>
  </si>
  <si>
    <t>Siddharth</t>
  </si>
  <si>
    <t>Total Players Needed</t>
  </si>
  <si>
    <t>Total purse left</t>
  </si>
  <si>
    <t>Normal Players Sold</t>
  </si>
  <si>
    <t xml:space="preserve">Players left </t>
  </si>
  <si>
    <t>Winners</t>
  </si>
  <si>
    <t>Runner</t>
  </si>
  <si>
    <t>Batsmen</t>
  </si>
  <si>
    <t>WK</t>
  </si>
  <si>
    <t>Sl.No.</t>
  </si>
  <si>
    <t>Players</t>
  </si>
  <si>
    <t>Price (L)</t>
  </si>
  <si>
    <t xml:space="preserve">Role </t>
  </si>
  <si>
    <t>Total Budget (Cr)</t>
  </si>
  <si>
    <t>Khaleel Ahmed</t>
  </si>
  <si>
    <t>Budget spent (Cr)</t>
  </si>
  <si>
    <t>Axar Patel</t>
  </si>
  <si>
    <t>All rounder</t>
  </si>
  <si>
    <t>Budget left (Cr)</t>
  </si>
  <si>
    <t>Rahul KL</t>
  </si>
  <si>
    <t>S Gill</t>
  </si>
  <si>
    <t>Taken</t>
  </si>
  <si>
    <t>Min req</t>
  </si>
  <si>
    <t>W Sundar</t>
  </si>
  <si>
    <t>J Hazlewood</t>
  </si>
  <si>
    <t>J Archer</t>
  </si>
  <si>
    <t>Naman Dhir</t>
  </si>
  <si>
    <t>Bumrah</t>
  </si>
  <si>
    <t>Shashank Singh</t>
  </si>
  <si>
    <t>H Brar</t>
  </si>
  <si>
    <t>V Chakaravarthy</t>
  </si>
  <si>
    <t>NKR</t>
  </si>
  <si>
    <t>N Pooran</t>
  </si>
  <si>
    <t>A Badoni</t>
  </si>
  <si>
    <t>Prashant Veer</t>
  </si>
  <si>
    <t>Glenn Philips</t>
  </si>
  <si>
    <t xml:space="preserve"> Harsh Dubey</t>
  </si>
  <si>
    <t>Matt Henry</t>
  </si>
  <si>
    <t>Ashutosh Sharma</t>
  </si>
  <si>
    <t>Ruturaj</t>
  </si>
  <si>
    <t>Chameera</t>
  </si>
  <si>
    <t>Nissanka</t>
  </si>
  <si>
    <t>Jos Butler</t>
  </si>
  <si>
    <t>Jitesh Sharma</t>
  </si>
  <si>
    <t>B Kumar</t>
  </si>
  <si>
    <t>H Pandya</t>
  </si>
  <si>
    <t>QDC</t>
  </si>
  <si>
    <t>Nehal Wadhera</t>
  </si>
  <si>
    <t>Vyshak Vijaykumar</t>
  </si>
  <si>
    <t>Tim Seifert</t>
  </si>
  <si>
    <t>I Kishan</t>
  </si>
  <si>
    <t>H Klassen</t>
  </si>
  <si>
    <t>Hasaranga</t>
  </si>
  <si>
    <t>M Shami</t>
  </si>
  <si>
    <t xml:space="preserve">Karun nair </t>
  </si>
  <si>
    <t>Ngidi</t>
  </si>
  <si>
    <t>Lockie Ferguson</t>
  </si>
  <si>
    <t>M Pandey</t>
  </si>
  <si>
    <t>A Nortje</t>
  </si>
  <si>
    <t>Noor Ahmed</t>
  </si>
  <si>
    <t>M Siraj</t>
  </si>
  <si>
    <t>Sai Kishore</t>
  </si>
  <si>
    <t xml:space="preserve">V Kohli </t>
  </si>
  <si>
    <t>P Salt</t>
  </si>
  <si>
    <t>S Hetmyer</t>
  </si>
  <si>
    <t>R Parag</t>
  </si>
  <si>
    <t>Ashwini Kumar</t>
  </si>
  <si>
    <t>Shreyas Iyer</t>
  </si>
  <si>
    <t>Marco Jansen</t>
  </si>
  <si>
    <t>Cooper Connolly</t>
  </si>
  <si>
    <t>Finn Allen</t>
  </si>
  <si>
    <t>Aiden Markram</t>
  </si>
  <si>
    <t>R Pant</t>
  </si>
  <si>
    <t>Marsh</t>
  </si>
  <si>
    <t>Xavier Bartlett</t>
  </si>
  <si>
    <t>V Arora</t>
  </si>
  <si>
    <t>Rachin Ravindra</t>
  </si>
  <si>
    <t>S Ahmed</t>
  </si>
  <si>
    <t>D Rathi</t>
  </si>
  <si>
    <t xml:space="preserve">Brewis </t>
  </si>
  <si>
    <t>Dube</t>
  </si>
  <si>
    <t>Abhishek Porel</t>
  </si>
  <si>
    <t>T Stubbs</t>
  </si>
  <si>
    <t>Shah Rukh Khan</t>
  </si>
  <si>
    <t>D Padikal</t>
  </si>
  <si>
    <t>R Shepard</t>
  </si>
  <si>
    <t>Sandeep Sharma</t>
  </si>
  <si>
    <t>V Suryavanshi</t>
  </si>
  <si>
    <t>R Bishnoi</t>
  </si>
  <si>
    <t>T Varma</t>
  </si>
  <si>
    <t>Mayank Markande</t>
  </si>
  <si>
    <t>Y Chahal</t>
  </si>
  <si>
    <t>S Narine</t>
  </si>
  <si>
    <t>C Green</t>
  </si>
  <si>
    <t>M Chowdary</t>
  </si>
  <si>
    <t>D Miller</t>
  </si>
  <si>
    <t>Auqib nabi</t>
  </si>
  <si>
    <t>Rickleton</t>
  </si>
  <si>
    <t>A Omarzai</t>
  </si>
  <si>
    <t>MS Dhoni</t>
  </si>
  <si>
    <t>Nithish Rana</t>
  </si>
  <si>
    <t>Kuldeep Yadav</t>
  </si>
  <si>
    <t>V Nigam</t>
  </si>
  <si>
    <t>K Rabada</t>
  </si>
  <si>
    <t>Rashid Khan</t>
  </si>
  <si>
    <t>Rajat Patidhar</t>
  </si>
  <si>
    <t>T David</t>
  </si>
  <si>
    <t>D Ferreira</t>
  </si>
  <si>
    <t>Jaishwal</t>
  </si>
  <si>
    <t>R Sharma</t>
  </si>
  <si>
    <t>S Yadav</t>
  </si>
  <si>
    <t>Arshdeep Singh</t>
  </si>
  <si>
    <t>Rahane</t>
  </si>
  <si>
    <t>Avesh Khan</t>
  </si>
  <si>
    <t>I Sharma</t>
  </si>
  <si>
    <t>A Raghuvanshi</t>
  </si>
  <si>
    <t>Mohsin Khan</t>
  </si>
  <si>
    <t>Ayush Mhatre</t>
  </si>
  <si>
    <t>Urvil Patel</t>
  </si>
  <si>
    <t>Sai Sudharasan</t>
  </si>
  <si>
    <t>Ashok Sharma</t>
  </si>
  <si>
    <t>K Pandya</t>
  </si>
  <si>
    <t>Suyash Sharma</t>
  </si>
  <si>
    <t>J Duffy</t>
  </si>
  <si>
    <t>Jadeja</t>
  </si>
  <si>
    <t>Nandre Burger</t>
  </si>
  <si>
    <t>T Boult</t>
  </si>
  <si>
    <t>W Jacks</t>
  </si>
  <si>
    <t>P Singh</t>
  </si>
  <si>
    <t>P Arya</t>
  </si>
  <si>
    <t>M Stoinis</t>
  </si>
  <si>
    <t>Abishek Sharma</t>
  </si>
  <si>
    <t>Pat Cummins</t>
  </si>
  <si>
    <t>Liam Livingstone</t>
  </si>
  <si>
    <t>Akeal Hosein</t>
  </si>
  <si>
    <t>Zak Foulkes</t>
  </si>
  <si>
    <t>C Bosch</t>
  </si>
  <si>
    <t>Sanju Samson</t>
  </si>
  <si>
    <t>Anshul Kamboj</t>
  </si>
  <si>
    <t>Starc</t>
  </si>
  <si>
    <t>Rizvi</t>
  </si>
  <si>
    <t>Natrajan</t>
  </si>
  <si>
    <t>Rahul Tewatia</t>
  </si>
  <si>
    <t>P Krishna</t>
  </si>
  <si>
    <t>J Holder</t>
  </si>
  <si>
    <t>J Bethell</t>
  </si>
  <si>
    <t>V Iyer</t>
  </si>
  <si>
    <t>D Jurel</t>
  </si>
  <si>
    <t>T Deshpande</t>
  </si>
  <si>
    <t>Satner</t>
  </si>
  <si>
    <t>D Chahar</t>
  </si>
  <si>
    <t>T Head</t>
  </si>
  <si>
    <t>S Thakur</t>
  </si>
  <si>
    <t>Yash Thakur</t>
  </si>
  <si>
    <t>Rinku Singh</t>
  </si>
  <si>
    <t>Harshal Patel</t>
  </si>
  <si>
    <t>Abdul Samad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</si>
</sst>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1" numFmtId="0" xfId="0" applyBorder="1" applyFont="1"/>
    <xf borderId="0" fillId="0" fontId="1" numFmtId="0" xfId="0" applyFont="1"/>
    <xf borderId="0" fillId="0" fontId="4" numFmtId="0" xfId="0" applyFont="1"/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0"/>
  </cols>
  <sheetData>
    <row r="2">
      <c r="B2" s="1" t="s">
        <v>0</v>
      </c>
      <c r="C2" s="1" t="s">
        <v>1</v>
      </c>
    </row>
    <row r="3">
      <c r="B3" s="1" t="s">
        <v>2</v>
      </c>
      <c r="C3" s="1" t="s">
        <v>3</v>
      </c>
    </row>
    <row r="4">
      <c r="B4" s="1" t="s">
        <v>4</v>
      </c>
      <c r="C4" s="1" t="s">
        <v>3</v>
      </c>
    </row>
    <row r="5">
      <c r="B5" s="1" t="s">
        <v>5</v>
      </c>
      <c r="C5" s="1" t="s">
        <v>3</v>
      </c>
    </row>
    <row r="6">
      <c r="B6" s="1" t="s">
        <v>6</v>
      </c>
      <c r="C6" s="1" t="s">
        <v>3</v>
      </c>
    </row>
    <row r="7">
      <c r="B7" s="1" t="s">
        <v>7</v>
      </c>
      <c r="C7" s="1" t="s">
        <v>3</v>
      </c>
    </row>
    <row r="8">
      <c r="B8" s="1" t="s">
        <v>8</v>
      </c>
      <c r="C8" s="1" t="s">
        <v>3</v>
      </c>
    </row>
    <row r="9">
      <c r="B9" s="1" t="s">
        <v>9</v>
      </c>
      <c r="C9" s="1" t="s">
        <v>3</v>
      </c>
    </row>
    <row r="10">
      <c r="B10" s="1" t="s">
        <v>10</v>
      </c>
      <c r="C10" s="1" t="s">
        <v>3</v>
      </c>
    </row>
    <row r="11">
      <c r="B11" s="1" t="s">
        <v>11</v>
      </c>
      <c r="C11" s="1" t="s">
        <v>3</v>
      </c>
    </row>
    <row r="12">
      <c r="B12" s="1" t="s">
        <v>12</v>
      </c>
      <c r="C12" s="1" t="s">
        <v>13</v>
      </c>
    </row>
    <row r="13">
      <c r="B13" s="1" t="s">
        <v>14</v>
      </c>
      <c r="C13" s="1" t="s">
        <v>13</v>
      </c>
    </row>
    <row r="14">
      <c r="B14" s="1" t="s">
        <v>15</v>
      </c>
      <c r="C14" s="1" t="s">
        <v>13</v>
      </c>
    </row>
    <row r="15">
      <c r="B15" s="1" t="s">
        <v>16</v>
      </c>
      <c r="C15" s="1" t="s">
        <v>13</v>
      </c>
    </row>
    <row r="16">
      <c r="B16" s="1" t="s">
        <v>17</v>
      </c>
      <c r="C16" s="1" t="s">
        <v>13</v>
      </c>
    </row>
    <row r="17">
      <c r="B17" s="1" t="s">
        <v>18</v>
      </c>
      <c r="C17" s="1" t="s">
        <v>13</v>
      </c>
    </row>
    <row r="18">
      <c r="B18" s="1" t="s">
        <v>19</v>
      </c>
      <c r="C18" s="1" t="s">
        <v>13</v>
      </c>
    </row>
    <row r="19">
      <c r="B19" s="1" t="s">
        <v>20</v>
      </c>
      <c r="C19" s="1" t="s">
        <v>21</v>
      </c>
    </row>
    <row r="20">
      <c r="B20" s="1" t="s">
        <v>22</v>
      </c>
      <c r="C20" s="1" t="s">
        <v>21</v>
      </c>
    </row>
    <row r="21">
      <c r="B21" s="1" t="s">
        <v>23</v>
      </c>
      <c r="C21" s="1" t="s">
        <v>21</v>
      </c>
    </row>
    <row r="22">
      <c r="B22" s="1" t="s">
        <v>24</v>
      </c>
      <c r="C22" s="1" t="s">
        <v>21</v>
      </c>
    </row>
    <row r="23">
      <c r="B23" s="1" t="s">
        <v>25</v>
      </c>
      <c r="C23" s="1" t="s">
        <v>21</v>
      </c>
    </row>
    <row r="24">
      <c r="B24" s="1" t="s">
        <v>26</v>
      </c>
      <c r="C24" s="1" t="s">
        <v>21</v>
      </c>
    </row>
    <row r="25">
      <c r="B25" s="1" t="s">
        <v>27</v>
      </c>
      <c r="C25" s="1" t="s">
        <v>21</v>
      </c>
    </row>
    <row r="26">
      <c r="B26" s="1" t="s">
        <v>28</v>
      </c>
      <c r="C26" s="1" t="s">
        <v>21</v>
      </c>
    </row>
    <row r="27">
      <c r="B27" s="1" t="s">
        <v>29</v>
      </c>
      <c r="C27" s="1" t="s">
        <v>21</v>
      </c>
    </row>
    <row r="28">
      <c r="B28" s="1" t="s">
        <v>30</v>
      </c>
      <c r="C28" s="1" t="s">
        <v>21</v>
      </c>
    </row>
    <row r="29">
      <c r="B29" s="1" t="s">
        <v>31</v>
      </c>
      <c r="C29" s="1" t="s">
        <v>32</v>
      </c>
    </row>
    <row r="30">
      <c r="B30" s="1" t="s">
        <v>33</v>
      </c>
      <c r="C30" s="1" t="s">
        <v>32</v>
      </c>
    </row>
    <row r="31">
      <c r="B31" s="1" t="s">
        <v>34</v>
      </c>
      <c r="C31" s="1" t="s">
        <v>32</v>
      </c>
    </row>
    <row r="32">
      <c r="B32" s="1" t="s">
        <v>35</v>
      </c>
      <c r="C32" s="1" t="s">
        <v>32</v>
      </c>
    </row>
    <row r="33">
      <c r="B33" s="1" t="s">
        <v>36</v>
      </c>
      <c r="C33" s="1" t="s">
        <v>32</v>
      </c>
    </row>
    <row r="34">
      <c r="B34" s="1" t="s">
        <v>37</v>
      </c>
      <c r="C34" s="1" t="s">
        <v>32</v>
      </c>
    </row>
    <row r="35">
      <c r="B35" s="1" t="s">
        <v>38</v>
      </c>
      <c r="C35" s="1" t="s">
        <v>32</v>
      </c>
    </row>
    <row r="36">
      <c r="B36" s="1" t="s">
        <v>39</v>
      </c>
      <c r="C36" s="1" t="s">
        <v>32</v>
      </c>
    </row>
    <row r="37">
      <c r="B37" s="1" t="s">
        <v>40</v>
      </c>
      <c r="C37" s="1" t="s">
        <v>32</v>
      </c>
    </row>
    <row r="38">
      <c r="B38" s="1" t="s">
        <v>41</v>
      </c>
      <c r="C38" s="1" t="s">
        <v>32</v>
      </c>
    </row>
    <row r="39">
      <c r="B39" s="1" t="s">
        <v>42</v>
      </c>
      <c r="C39" s="1" t="s">
        <v>32</v>
      </c>
    </row>
    <row r="40">
      <c r="B40" s="1" t="s">
        <v>43</v>
      </c>
      <c r="C40" s="1" t="s">
        <v>44</v>
      </c>
    </row>
    <row r="41">
      <c r="B41" s="1" t="s">
        <v>45</v>
      </c>
      <c r="C41" s="1" t="s">
        <v>44</v>
      </c>
    </row>
    <row r="42">
      <c r="B42" s="1" t="s">
        <v>46</v>
      </c>
      <c r="C42" s="1" t="s">
        <v>44</v>
      </c>
    </row>
    <row r="43">
      <c r="B43" s="1" t="s">
        <v>47</v>
      </c>
      <c r="C43" s="1" t="s">
        <v>44</v>
      </c>
    </row>
    <row r="44">
      <c r="B44" s="1" t="s">
        <v>48</v>
      </c>
      <c r="C44" s="1" t="s">
        <v>44</v>
      </c>
    </row>
    <row r="45">
      <c r="B45" s="1" t="s">
        <v>49</v>
      </c>
      <c r="C45" s="1" t="s">
        <v>44</v>
      </c>
    </row>
    <row r="46">
      <c r="B46" s="1" t="s">
        <v>50</v>
      </c>
      <c r="C46" s="1" t="s">
        <v>44</v>
      </c>
    </row>
    <row r="47">
      <c r="B47" s="1" t="s">
        <v>51</v>
      </c>
      <c r="C47" s="1" t="s">
        <v>44</v>
      </c>
    </row>
    <row r="48">
      <c r="B48" s="1" t="s">
        <v>52</v>
      </c>
      <c r="C48" s="1" t="s">
        <v>44</v>
      </c>
    </row>
    <row r="49">
      <c r="B49" s="1" t="s">
        <v>53</v>
      </c>
      <c r="C49" s="1" t="s">
        <v>44</v>
      </c>
    </row>
    <row r="50">
      <c r="B50" s="1" t="s">
        <v>54</v>
      </c>
      <c r="C50" s="1" t="s">
        <v>44</v>
      </c>
    </row>
    <row r="51">
      <c r="B51" s="1" t="s">
        <v>55</v>
      </c>
      <c r="C51" s="1" t="s">
        <v>44</v>
      </c>
    </row>
    <row r="52">
      <c r="B52" s="1" t="s">
        <v>56</v>
      </c>
      <c r="C52" s="1" t="s">
        <v>57</v>
      </c>
    </row>
    <row r="53">
      <c r="B53" s="1" t="s">
        <v>58</v>
      </c>
      <c r="C53" s="1" t="s">
        <v>57</v>
      </c>
    </row>
    <row r="54">
      <c r="B54" s="1" t="s">
        <v>59</v>
      </c>
      <c r="C54" s="1" t="s">
        <v>57</v>
      </c>
    </row>
    <row r="55">
      <c r="B55" s="1" t="s">
        <v>60</v>
      </c>
      <c r="C55" s="1" t="s">
        <v>57</v>
      </c>
    </row>
    <row r="56">
      <c r="B56" s="1" t="s">
        <v>61</v>
      </c>
      <c r="C56" s="1" t="s">
        <v>57</v>
      </c>
    </row>
    <row r="57">
      <c r="B57" s="1" t="s">
        <v>62</v>
      </c>
      <c r="C57" s="1" t="s">
        <v>57</v>
      </c>
    </row>
    <row r="58">
      <c r="B58" s="1" t="s">
        <v>63</v>
      </c>
      <c r="C58" s="1" t="s">
        <v>57</v>
      </c>
    </row>
    <row r="59">
      <c r="B59" s="1" t="s">
        <v>64</v>
      </c>
      <c r="C59" s="1" t="s">
        <v>57</v>
      </c>
    </row>
    <row r="60">
      <c r="B60" s="1" t="s">
        <v>65</v>
      </c>
      <c r="C60" s="1" t="s">
        <v>57</v>
      </c>
    </row>
    <row r="61">
      <c r="B61" s="1" t="s">
        <v>66</v>
      </c>
      <c r="C61" s="1" t="s">
        <v>67</v>
      </c>
    </row>
    <row r="62">
      <c r="B62" s="1" t="s">
        <v>68</v>
      </c>
      <c r="C62" s="1" t="s">
        <v>67</v>
      </c>
    </row>
    <row r="63">
      <c r="B63" s="1" t="s">
        <v>69</v>
      </c>
      <c r="C63" s="1" t="s">
        <v>67</v>
      </c>
    </row>
    <row r="64">
      <c r="B64" s="1" t="s">
        <v>70</v>
      </c>
      <c r="C64" s="1" t="s">
        <v>67</v>
      </c>
    </row>
    <row r="65">
      <c r="B65" s="1" t="s">
        <v>71</v>
      </c>
      <c r="C65" s="1" t="s">
        <v>67</v>
      </c>
    </row>
    <row r="66">
      <c r="B66" s="1" t="s">
        <v>72</v>
      </c>
      <c r="C66" s="1" t="s">
        <v>67</v>
      </c>
    </row>
    <row r="67">
      <c r="B67" s="1" t="s">
        <v>73</v>
      </c>
      <c r="C67" s="1" t="s">
        <v>67</v>
      </c>
    </row>
    <row r="68">
      <c r="B68" s="1" t="s">
        <v>74</v>
      </c>
      <c r="C68" s="1" t="s">
        <v>67</v>
      </c>
    </row>
    <row r="69">
      <c r="B69" s="1" t="s">
        <v>75</v>
      </c>
      <c r="C69" s="1" t="s">
        <v>67</v>
      </c>
    </row>
    <row r="70">
      <c r="B70" s="1" t="s">
        <v>76</v>
      </c>
      <c r="C70" s="1" t="s">
        <v>77</v>
      </c>
    </row>
    <row r="71">
      <c r="B71" s="1" t="s">
        <v>78</v>
      </c>
      <c r="C71" s="1" t="s">
        <v>77</v>
      </c>
    </row>
    <row r="72">
      <c r="B72" s="1" t="s">
        <v>79</v>
      </c>
      <c r="C72" s="1" t="s">
        <v>77</v>
      </c>
    </row>
    <row r="73">
      <c r="B73" s="1" t="s">
        <v>80</v>
      </c>
      <c r="C73" s="1" t="s">
        <v>77</v>
      </c>
    </row>
    <row r="74">
      <c r="B74" s="1" t="s">
        <v>81</v>
      </c>
      <c r="C74" s="1" t="s">
        <v>77</v>
      </c>
    </row>
    <row r="75">
      <c r="B75" s="1" t="s">
        <v>82</v>
      </c>
      <c r="C75" s="1" t="s">
        <v>77</v>
      </c>
    </row>
    <row r="76">
      <c r="B76" s="1" t="s">
        <v>83</v>
      </c>
      <c r="C76" s="1" t="s">
        <v>77</v>
      </c>
    </row>
    <row r="77">
      <c r="B77" s="1" t="s">
        <v>84</v>
      </c>
      <c r="C77" s="1" t="s">
        <v>77</v>
      </c>
    </row>
    <row r="78">
      <c r="B78" s="1" t="s">
        <v>85</v>
      </c>
      <c r="C78" s="1" t="s">
        <v>77</v>
      </c>
    </row>
    <row r="79">
      <c r="B79" s="1" t="s">
        <v>86</v>
      </c>
      <c r="C79" s="1" t="s">
        <v>77</v>
      </c>
    </row>
    <row r="80">
      <c r="B80" s="1" t="s">
        <v>87</v>
      </c>
      <c r="C80" s="1" t="s">
        <v>77</v>
      </c>
    </row>
    <row r="81">
      <c r="B81" s="1" t="s">
        <v>88</v>
      </c>
      <c r="C81" s="1" t="s">
        <v>89</v>
      </c>
    </row>
    <row r="82">
      <c r="B82" s="1" t="s">
        <v>90</v>
      </c>
      <c r="C82" s="1" t="s">
        <v>89</v>
      </c>
    </row>
    <row r="83">
      <c r="B83" s="1" t="s">
        <v>91</v>
      </c>
      <c r="C83" s="1" t="s">
        <v>89</v>
      </c>
    </row>
    <row r="84">
      <c r="B84" s="1" t="s">
        <v>92</v>
      </c>
      <c r="C84" s="1" t="s">
        <v>89</v>
      </c>
    </row>
    <row r="85">
      <c r="B85" s="1" t="s">
        <v>93</v>
      </c>
      <c r="C85" s="1" t="s">
        <v>89</v>
      </c>
    </row>
    <row r="86">
      <c r="B86" s="1" t="s">
        <v>94</v>
      </c>
      <c r="C86" s="1" t="s">
        <v>89</v>
      </c>
    </row>
    <row r="87">
      <c r="B87" s="1" t="s">
        <v>95</v>
      </c>
      <c r="C87" s="1" t="s">
        <v>89</v>
      </c>
    </row>
    <row r="88">
      <c r="B88" s="1" t="s">
        <v>96</v>
      </c>
      <c r="C88" s="1" t="s">
        <v>89</v>
      </c>
    </row>
    <row r="89">
      <c r="B89" s="1" t="s">
        <v>97</v>
      </c>
      <c r="C89" s="1" t="s">
        <v>89</v>
      </c>
    </row>
    <row r="90">
      <c r="B90" s="1" t="s">
        <v>98</v>
      </c>
      <c r="C90" s="1" t="s">
        <v>89</v>
      </c>
    </row>
    <row r="91">
      <c r="B91" s="1" t="s">
        <v>99</v>
      </c>
      <c r="C91" s="1" t="s">
        <v>89</v>
      </c>
    </row>
    <row r="92">
      <c r="B92" s="1" t="s">
        <v>100</v>
      </c>
      <c r="C92" s="1" t="s">
        <v>89</v>
      </c>
    </row>
    <row r="93">
      <c r="B93" s="1" t="s">
        <v>101</v>
      </c>
      <c r="C93" s="1" t="s">
        <v>89</v>
      </c>
    </row>
    <row r="94">
      <c r="B94" s="1" t="s">
        <v>102</v>
      </c>
      <c r="C94" s="1" t="s">
        <v>89</v>
      </c>
    </row>
    <row r="95">
      <c r="B95" s="1" t="s">
        <v>103</v>
      </c>
      <c r="C95" s="1" t="s">
        <v>89</v>
      </c>
    </row>
    <row r="96">
      <c r="B96" s="1" t="s">
        <v>104</v>
      </c>
      <c r="C96" s="1" t="s">
        <v>89</v>
      </c>
    </row>
    <row r="97">
      <c r="B97" s="1" t="s">
        <v>105</v>
      </c>
      <c r="C97" s="1" t="s">
        <v>106</v>
      </c>
    </row>
    <row r="98">
      <c r="B98" s="1" t="s">
        <v>107</v>
      </c>
      <c r="C98" s="1" t="s">
        <v>106</v>
      </c>
    </row>
    <row r="99">
      <c r="B99" s="1" t="s">
        <v>108</v>
      </c>
      <c r="C99" s="1" t="s">
        <v>106</v>
      </c>
    </row>
    <row r="100">
      <c r="B100" s="1" t="s">
        <v>109</v>
      </c>
      <c r="C100" s="1" t="s">
        <v>106</v>
      </c>
    </row>
    <row r="101">
      <c r="B101" s="1" t="s">
        <v>110</v>
      </c>
      <c r="C101" s="1" t="s">
        <v>106</v>
      </c>
    </row>
    <row r="102">
      <c r="B102" s="1" t="s">
        <v>111</v>
      </c>
      <c r="C102" s="1" t="s">
        <v>106</v>
      </c>
    </row>
    <row r="103">
      <c r="B103" s="1" t="s">
        <v>112</v>
      </c>
      <c r="C103" s="1" t="s">
        <v>106</v>
      </c>
    </row>
    <row r="104">
      <c r="B104" s="1" t="s">
        <v>113</v>
      </c>
      <c r="C104" s="1" t="s">
        <v>106</v>
      </c>
    </row>
    <row r="105">
      <c r="B105" s="1" t="s">
        <v>114</v>
      </c>
      <c r="C105" s="1" t="s">
        <v>106</v>
      </c>
    </row>
    <row r="106">
      <c r="B106" s="1" t="s">
        <v>115</v>
      </c>
      <c r="C106" s="1" t="s">
        <v>106</v>
      </c>
    </row>
    <row r="107">
      <c r="B107" s="1" t="s">
        <v>116</v>
      </c>
      <c r="C107" s="1" t="s">
        <v>106</v>
      </c>
    </row>
    <row r="108">
      <c r="B108" s="1" t="s">
        <v>117</v>
      </c>
      <c r="C108" s="1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25"/>
    <col customWidth="1" min="3" max="3" width="11.88"/>
    <col customWidth="1" min="4" max="4" width="8.0"/>
    <col customWidth="1" min="5" max="5" width="6.25"/>
    <col customWidth="1" min="6" max="6" width="10.13"/>
    <col customWidth="1" min="7" max="7" width="18.63"/>
    <col customWidth="1" min="8" max="8" width="14.88"/>
    <col customWidth="1" min="9" max="26" width="8.63"/>
  </cols>
  <sheetData>
    <row r="1" ht="14.25" customHeight="1">
      <c r="D1" s="1" t="s">
        <v>118</v>
      </c>
    </row>
    <row r="2" ht="14.25" customHeight="1">
      <c r="B2" s="2"/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</row>
    <row r="3" ht="14.25" customHeight="1">
      <c r="B3" s="2" t="s">
        <v>125</v>
      </c>
      <c r="C3" s="2">
        <f>DK!I5</f>
        <v>0</v>
      </c>
      <c r="D3" s="2">
        <f>DK!I8</f>
        <v>6</v>
      </c>
      <c r="E3" s="2">
        <f>DK!I9</f>
        <v>6</v>
      </c>
      <c r="F3" s="2">
        <f>DK!I10</f>
        <v>1</v>
      </c>
      <c r="G3" s="2">
        <f>DK!I11</f>
        <v>7</v>
      </c>
      <c r="H3" s="2">
        <f t="shared" ref="H3:H10" si="1">SUM(D3:G3)</f>
        <v>20</v>
      </c>
    </row>
    <row r="4" ht="14.25" customHeight="1">
      <c r="B4" s="3" t="s">
        <v>126</v>
      </c>
      <c r="C4" s="2">
        <f>Anand!I5</f>
        <v>0.2</v>
      </c>
      <c r="D4" s="2">
        <f>Anand!I8</f>
        <v>10</v>
      </c>
      <c r="E4" s="2">
        <f>Anand!I9</f>
        <v>7</v>
      </c>
      <c r="F4" s="2">
        <f>Anand!I10</f>
        <v>1</v>
      </c>
      <c r="G4" s="2">
        <f>Anand!I11</f>
        <v>2</v>
      </c>
      <c r="H4" s="2">
        <f t="shared" si="1"/>
        <v>20</v>
      </c>
    </row>
    <row r="5" ht="14.25" customHeight="1">
      <c r="B5" s="2" t="s">
        <v>127</v>
      </c>
      <c r="C5" s="2">
        <f>Shash!I5</f>
        <v>0.4</v>
      </c>
      <c r="D5" s="2">
        <f>Shash!I8</f>
        <v>7</v>
      </c>
      <c r="E5" s="2">
        <f>Shash!I9</f>
        <v>7</v>
      </c>
      <c r="F5" s="2">
        <f>Shash!I10</f>
        <v>1</v>
      </c>
      <c r="G5" s="2">
        <f>Shash!I11</f>
        <v>5</v>
      </c>
      <c r="H5" s="2">
        <f t="shared" si="1"/>
        <v>20</v>
      </c>
    </row>
    <row r="6" ht="14.25" customHeight="1">
      <c r="B6" s="3" t="s">
        <v>128</v>
      </c>
      <c r="C6" s="2">
        <f>'Naveen + Sujeeth'!I5</f>
        <v>1.4</v>
      </c>
      <c r="D6" s="2">
        <f>'Naveen + Sujeeth'!I8</f>
        <v>8</v>
      </c>
      <c r="E6" s="2">
        <f>'Naveen + Sujeeth'!I9</f>
        <v>6</v>
      </c>
      <c r="F6" s="2">
        <f>'Naveen + Sujeeth'!I10</f>
        <v>1</v>
      </c>
      <c r="G6" s="2">
        <f>'Naveen + Sujeeth'!I11</f>
        <v>5</v>
      </c>
      <c r="H6" s="2">
        <f t="shared" si="1"/>
        <v>20</v>
      </c>
    </row>
    <row r="7" ht="14.25" customHeight="1">
      <c r="B7" s="4" t="s">
        <v>129</v>
      </c>
      <c r="C7" s="2">
        <f>Roshan!I5</f>
        <v>0.2</v>
      </c>
      <c r="D7" s="2">
        <f>Roshan!I8</f>
        <v>7</v>
      </c>
      <c r="E7" s="2">
        <f>Roshan!I9</f>
        <v>7</v>
      </c>
      <c r="F7" s="2">
        <f>Roshan!I10</f>
        <v>1</v>
      </c>
      <c r="G7" s="2">
        <f>Roshan!I11</f>
        <v>5</v>
      </c>
      <c r="H7" s="2">
        <f t="shared" si="1"/>
        <v>20</v>
      </c>
    </row>
    <row r="8" ht="14.25" customHeight="1">
      <c r="B8" s="3" t="s">
        <v>130</v>
      </c>
      <c r="C8" s="2">
        <f>Yesh!I5</f>
        <v>1.7</v>
      </c>
      <c r="D8" s="2">
        <f>Yesh!I8</f>
        <v>5</v>
      </c>
      <c r="E8" s="2">
        <f>Yesh!I9</f>
        <v>6</v>
      </c>
      <c r="F8" s="2">
        <f>Yesh!I10</f>
        <v>1</v>
      </c>
      <c r="G8" s="2">
        <f>Yesh!I11</f>
        <v>8</v>
      </c>
      <c r="H8" s="2">
        <f t="shared" si="1"/>
        <v>20</v>
      </c>
    </row>
    <row r="9" ht="14.25" customHeight="1">
      <c r="B9" s="3" t="s">
        <v>131</v>
      </c>
      <c r="C9" s="2">
        <f>Siddharth!I5</f>
        <v>0.5</v>
      </c>
      <c r="D9" s="2">
        <f>Siddharth!I8</f>
        <v>7</v>
      </c>
      <c r="E9" s="2">
        <f>Siddharth!I9</f>
        <v>8</v>
      </c>
      <c r="F9" s="2">
        <f>Siddharth!I10</f>
        <v>1</v>
      </c>
      <c r="G9" s="2">
        <f>Siddharth!I11</f>
        <v>4</v>
      </c>
      <c r="H9" s="2">
        <f t="shared" si="1"/>
        <v>20</v>
      </c>
    </row>
    <row r="10" ht="14.25" customHeight="1">
      <c r="B10" s="5"/>
      <c r="C10" s="2">
        <f>NA!I5</f>
        <v>20</v>
      </c>
      <c r="D10" s="2">
        <f>NA!I8</f>
        <v>0</v>
      </c>
      <c r="E10" s="2">
        <f>NA!I9</f>
        <v>0</v>
      </c>
      <c r="F10" s="2">
        <f>NA!I10</f>
        <v>0</v>
      </c>
      <c r="G10" s="2">
        <f>NA!I11</f>
        <v>0</v>
      </c>
      <c r="H10" s="2">
        <f t="shared" si="1"/>
        <v>0</v>
      </c>
    </row>
    <row r="11" ht="14.25" customHeight="1"/>
    <row r="12" ht="14.25" customHeight="1">
      <c r="G12" s="6" t="s">
        <v>132</v>
      </c>
      <c r="H12" s="6">
        <v>160.0</v>
      </c>
    </row>
    <row r="13" ht="14.25" customHeight="1">
      <c r="B13" s="6" t="s">
        <v>133</v>
      </c>
      <c r="C13" s="7">
        <f>SUM(C3:C10)</f>
        <v>24.4</v>
      </c>
      <c r="G13" s="6" t="s">
        <v>134</v>
      </c>
      <c r="H13" s="7">
        <f>(SUM(H3:H10))</f>
        <v>140</v>
      </c>
    </row>
    <row r="14" ht="14.25" customHeight="1">
      <c r="G14" s="6" t="s">
        <v>135</v>
      </c>
      <c r="H14" s="6">
        <f>H12-H13</f>
        <v>20</v>
      </c>
    </row>
    <row r="15" ht="14.25" customHeight="1"/>
    <row r="16" ht="14.25" customHeight="1"/>
    <row r="17" ht="14.25" customHeight="1">
      <c r="B17" s="7" t="s">
        <v>136</v>
      </c>
      <c r="C17" s="7"/>
      <c r="D17" s="7"/>
      <c r="E17" s="7"/>
    </row>
    <row r="18" ht="14.25" customHeight="1">
      <c r="B18" s="7" t="s">
        <v>137</v>
      </c>
      <c r="C18" s="7"/>
    </row>
    <row r="19" ht="14.25" customHeight="1"/>
    <row r="20" ht="14.25" customHeight="1"/>
    <row r="21" ht="14.25" customHeight="1"/>
    <row r="22" ht="14.25" customHeight="1">
      <c r="D22" s="1" t="s">
        <v>138</v>
      </c>
      <c r="E22" s="1">
        <v>5.0</v>
      </c>
    </row>
    <row r="23" ht="14.25" customHeight="1">
      <c r="D23" s="1" t="s">
        <v>121</v>
      </c>
      <c r="E23" s="1">
        <v>4.0</v>
      </c>
    </row>
    <row r="24" ht="14.25" customHeight="1">
      <c r="D24" s="1" t="s">
        <v>139</v>
      </c>
      <c r="E24" s="1">
        <v>1.0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145</v>
      </c>
      <c r="D4" s="3">
        <v>160.0</v>
      </c>
      <c r="E4" s="3" t="s">
        <v>121</v>
      </c>
      <c r="H4" s="2" t="s">
        <v>146</v>
      </c>
      <c r="I4" s="2">
        <f>SUM(D4:D23)/100</f>
        <v>20</v>
      </c>
    </row>
    <row r="5" ht="14.25" customHeight="1">
      <c r="B5" s="2">
        <v>2.0</v>
      </c>
      <c r="C5" s="3" t="s">
        <v>147</v>
      </c>
      <c r="D5" s="3">
        <v>300.0</v>
      </c>
      <c r="E5" s="3" t="s">
        <v>148</v>
      </c>
      <c r="H5" s="2" t="s">
        <v>149</v>
      </c>
      <c r="I5" s="2">
        <f>I3-I4</f>
        <v>0</v>
      </c>
    </row>
    <row r="6" ht="14.25" customHeight="1">
      <c r="B6" s="2">
        <v>3.0</v>
      </c>
      <c r="C6" s="3" t="s">
        <v>150</v>
      </c>
      <c r="D6" s="3">
        <v>350.0</v>
      </c>
      <c r="E6" s="3" t="s">
        <v>122</v>
      </c>
    </row>
    <row r="7" ht="14.25" customHeight="1">
      <c r="B7" s="2">
        <v>4.0</v>
      </c>
      <c r="C7" s="3" t="s">
        <v>151</v>
      </c>
      <c r="D7" s="3">
        <v>360.0</v>
      </c>
      <c r="E7" s="3" t="s">
        <v>120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154</v>
      </c>
      <c r="D8" s="3">
        <v>160.0</v>
      </c>
      <c r="E8" s="3" t="s">
        <v>148</v>
      </c>
      <c r="H8" s="2" t="s">
        <v>120</v>
      </c>
      <c r="I8" s="2">
        <f t="shared" ref="I8:I11" si="1">COUNTIF($E$4:$E$23,H8)</f>
        <v>6</v>
      </c>
      <c r="J8" s="2">
        <v>5.0</v>
      </c>
    </row>
    <row r="9" ht="14.25" customHeight="1">
      <c r="B9" s="2">
        <v>6.0</v>
      </c>
      <c r="C9" s="3" t="s">
        <v>155</v>
      </c>
      <c r="D9" s="3">
        <v>10.0</v>
      </c>
      <c r="E9" s="3" t="s">
        <v>121</v>
      </c>
      <c r="H9" s="2" t="s">
        <v>121</v>
      </c>
      <c r="I9" s="2">
        <f t="shared" si="1"/>
        <v>6</v>
      </c>
      <c r="J9" s="2">
        <v>4.0</v>
      </c>
    </row>
    <row r="10" ht="14.25" customHeight="1">
      <c r="B10" s="2">
        <v>7.0</v>
      </c>
      <c r="C10" s="3" t="s">
        <v>156</v>
      </c>
      <c r="D10" s="3">
        <v>90.0</v>
      </c>
      <c r="E10" s="3" t="s">
        <v>121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157</v>
      </c>
      <c r="D11" s="3">
        <v>10.0</v>
      </c>
      <c r="E11" s="3" t="s">
        <v>120</v>
      </c>
      <c r="H11" s="2" t="s">
        <v>148</v>
      </c>
      <c r="I11" s="2">
        <f t="shared" si="1"/>
        <v>7</v>
      </c>
      <c r="J11" s="2"/>
    </row>
    <row r="12" ht="14.25" customHeight="1">
      <c r="B12" s="2">
        <v>9.0</v>
      </c>
      <c r="C12" s="3" t="s">
        <v>158</v>
      </c>
      <c r="D12" s="3">
        <v>260.0</v>
      </c>
      <c r="E12" s="3" t="s">
        <v>121</v>
      </c>
    </row>
    <row r="13" ht="14.25" customHeight="1">
      <c r="B13" s="2">
        <v>10.0</v>
      </c>
      <c r="C13" s="3" t="s">
        <v>159</v>
      </c>
      <c r="D13" s="3">
        <v>10.0</v>
      </c>
      <c r="E13" s="3" t="s">
        <v>120</v>
      </c>
    </row>
    <row r="14" ht="14.25" customHeight="1">
      <c r="B14" s="2">
        <v>11.0</v>
      </c>
      <c r="C14" s="3" t="s">
        <v>160</v>
      </c>
      <c r="D14" s="3">
        <v>10.0</v>
      </c>
      <c r="E14" s="3" t="s">
        <v>148</v>
      </c>
    </row>
    <row r="15" ht="14.25" customHeight="1">
      <c r="B15" s="2">
        <v>12.0</v>
      </c>
      <c r="C15" s="3" t="s">
        <v>161</v>
      </c>
      <c r="D15" s="3">
        <v>150.0</v>
      </c>
      <c r="E15" s="3" t="s">
        <v>121</v>
      </c>
    </row>
    <row r="16" ht="14.25" customHeight="1">
      <c r="B16" s="2">
        <v>13.0</v>
      </c>
      <c r="C16" s="3" t="s">
        <v>162</v>
      </c>
      <c r="D16" s="3">
        <v>10.0</v>
      </c>
      <c r="E16" s="3" t="s">
        <v>148</v>
      </c>
      <c r="F16" s="7"/>
    </row>
    <row r="17" ht="14.25" customHeight="1">
      <c r="B17" s="2">
        <v>14.0</v>
      </c>
      <c r="C17" s="3" t="s">
        <v>163</v>
      </c>
      <c r="D17" s="3">
        <v>60.0</v>
      </c>
      <c r="E17" s="3" t="s">
        <v>120</v>
      </c>
    </row>
    <row r="18" ht="14.25" customHeight="1">
      <c r="B18" s="2">
        <v>15.0</v>
      </c>
      <c r="C18" s="3" t="s">
        <v>164</v>
      </c>
      <c r="D18" s="3">
        <v>10.0</v>
      </c>
      <c r="E18" s="3" t="s">
        <v>120</v>
      </c>
    </row>
    <row r="19" ht="14.25" customHeight="1">
      <c r="B19" s="2">
        <v>16.0</v>
      </c>
      <c r="C19" s="3" t="s">
        <v>165</v>
      </c>
      <c r="D19" s="3">
        <v>10.0</v>
      </c>
      <c r="E19" s="3" t="s">
        <v>148</v>
      </c>
    </row>
    <row r="20" ht="14.25" customHeight="1">
      <c r="B20" s="2">
        <v>17.0</v>
      </c>
      <c r="C20" s="3" t="s">
        <v>166</v>
      </c>
      <c r="D20" s="3">
        <v>10.0</v>
      </c>
      <c r="E20" s="3" t="s">
        <v>148</v>
      </c>
    </row>
    <row r="21" ht="14.25" customHeight="1">
      <c r="B21" s="2">
        <v>18.0</v>
      </c>
      <c r="C21" s="3" t="s">
        <v>167</v>
      </c>
      <c r="D21" s="3">
        <v>10.0</v>
      </c>
      <c r="E21" s="3" t="s">
        <v>148</v>
      </c>
    </row>
    <row r="22" ht="14.25" customHeight="1">
      <c r="B22" s="2">
        <v>19.0</v>
      </c>
      <c r="C22" s="3" t="s">
        <v>168</v>
      </c>
      <c r="D22" s="3">
        <v>10.0</v>
      </c>
      <c r="E22" s="3" t="s">
        <v>121</v>
      </c>
    </row>
    <row r="23" ht="14.25" customHeight="1">
      <c r="B23" s="2">
        <v>20.0</v>
      </c>
      <c r="C23" s="3" t="s">
        <v>169</v>
      </c>
      <c r="D23" s="3">
        <v>10.0</v>
      </c>
      <c r="E23" s="3" t="s">
        <v>120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5" width="10.75"/>
    <col customWidth="1" min="6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170</v>
      </c>
      <c r="D4" s="3">
        <v>300.0</v>
      </c>
      <c r="E4" s="3" t="s">
        <v>120</v>
      </c>
      <c r="H4" s="2" t="s">
        <v>146</v>
      </c>
      <c r="I4" s="2">
        <f>SUM(D4:D23)/100</f>
        <v>19.8</v>
      </c>
    </row>
    <row r="5" ht="14.25" customHeight="1">
      <c r="B5" s="2">
        <v>2.0</v>
      </c>
      <c r="C5" s="3" t="s">
        <v>171</v>
      </c>
      <c r="D5" s="3">
        <v>10.0</v>
      </c>
      <c r="E5" s="3" t="s">
        <v>121</v>
      </c>
      <c r="H5" s="2" t="s">
        <v>149</v>
      </c>
      <c r="I5" s="2">
        <f>I3-I4</f>
        <v>0.2</v>
      </c>
    </row>
    <row r="6" ht="14.25" customHeight="1">
      <c r="B6" s="2">
        <v>3.0</v>
      </c>
      <c r="C6" s="3" t="s">
        <v>172</v>
      </c>
      <c r="D6" s="3">
        <v>90.0</v>
      </c>
      <c r="E6" s="3" t="s">
        <v>120</v>
      </c>
    </row>
    <row r="7" ht="14.25" customHeight="1">
      <c r="B7" s="2">
        <v>4.0</v>
      </c>
      <c r="C7" s="3" t="s">
        <v>173</v>
      </c>
      <c r="D7" s="3">
        <v>330.0</v>
      </c>
      <c r="E7" s="3" t="s">
        <v>122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174</v>
      </c>
      <c r="D8" s="3">
        <v>210.0</v>
      </c>
      <c r="E8" s="3" t="s">
        <v>120</v>
      </c>
      <c r="H8" s="2" t="s">
        <v>120</v>
      </c>
      <c r="I8" s="2">
        <f t="shared" ref="I8:I11" si="1">COUNTIF($E$4:$E$23,H8)</f>
        <v>10</v>
      </c>
      <c r="J8" s="2">
        <v>5.0</v>
      </c>
    </row>
    <row r="9" ht="14.25" customHeight="1">
      <c r="B9" s="2">
        <v>6.0</v>
      </c>
      <c r="C9" s="3" t="s">
        <v>175</v>
      </c>
      <c r="D9" s="3">
        <v>100.0</v>
      </c>
      <c r="E9" s="3" t="s">
        <v>121</v>
      </c>
      <c r="H9" s="2" t="s">
        <v>121</v>
      </c>
      <c r="I9" s="2">
        <f t="shared" si="1"/>
        <v>7</v>
      </c>
      <c r="J9" s="2">
        <v>4.0</v>
      </c>
    </row>
    <row r="10" ht="14.25" customHeight="1">
      <c r="B10" s="2">
        <v>7.0</v>
      </c>
      <c r="C10" s="3" t="s">
        <v>176</v>
      </c>
      <c r="D10" s="3">
        <v>240.0</v>
      </c>
      <c r="E10" s="3" t="s">
        <v>148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177</v>
      </c>
      <c r="D11" s="3">
        <v>70.0</v>
      </c>
      <c r="E11" s="3" t="s">
        <v>120</v>
      </c>
      <c r="H11" s="2" t="s">
        <v>148</v>
      </c>
      <c r="I11" s="2">
        <f t="shared" si="1"/>
        <v>2</v>
      </c>
      <c r="J11" s="2"/>
    </row>
    <row r="12" ht="14.25" customHeight="1">
      <c r="B12" s="2">
        <v>9.0</v>
      </c>
      <c r="C12" s="3" t="s">
        <v>178</v>
      </c>
      <c r="D12" s="3">
        <v>110.0</v>
      </c>
      <c r="E12" s="3" t="s">
        <v>120</v>
      </c>
    </row>
    <row r="13" ht="14.25" customHeight="1">
      <c r="B13" s="2">
        <v>10.0</v>
      </c>
      <c r="C13" s="3" t="s">
        <v>179</v>
      </c>
      <c r="D13" s="3">
        <v>10.0</v>
      </c>
      <c r="E13" s="3" t="s">
        <v>121</v>
      </c>
    </row>
    <row r="14" ht="14.25" customHeight="1">
      <c r="B14" s="2">
        <v>11.0</v>
      </c>
      <c r="C14" s="3" t="s">
        <v>180</v>
      </c>
      <c r="D14" s="3">
        <v>10.0</v>
      </c>
      <c r="E14" s="3" t="s">
        <v>120</v>
      </c>
    </row>
    <row r="15" ht="14.25" customHeight="1">
      <c r="B15" s="2">
        <v>12.0</v>
      </c>
      <c r="C15" s="3" t="s">
        <v>181</v>
      </c>
      <c r="D15" s="3">
        <v>250.0</v>
      </c>
      <c r="E15" s="3" t="s">
        <v>120</v>
      </c>
    </row>
    <row r="16" ht="14.25" customHeight="1">
      <c r="B16" s="2">
        <v>13.0</v>
      </c>
      <c r="C16" s="3" t="s">
        <v>182</v>
      </c>
      <c r="D16" s="3">
        <v>90.0</v>
      </c>
      <c r="E16" s="3" t="s">
        <v>120</v>
      </c>
    </row>
    <row r="17" ht="14.25" customHeight="1">
      <c r="B17" s="2">
        <v>14.0</v>
      </c>
      <c r="C17" s="3" t="s">
        <v>183</v>
      </c>
      <c r="D17" s="3">
        <v>10.0</v>
      </c>
      <c r="E17" s="3" t="s">
        <v>148</v>
      </c>
    </row>
    <row r="18" ht="14.25" customHeight="1">
      <c r="B18" s="2">
        <v>15.0</v>
      </c>
      <c r="C18" s="3" t="s">
        <v>184</v>
      </c>
      <c r="D18" s="3">
        <v>10.0</v>
      </c>
      <c r="E18" s="3" t="s">
        <v>121</v>
      </c>
    </row>
    <row r="19" ht="14.25" customHeight="1">
      <c r="B19" s="2">
        <v>16.0</v>
      </c>
      <c r="C19" s="3" t="s">
        <v>185</v>
      </c>
      <c r="D19" s="3">
        <v>10.0</v>
      </c>
      <c r="E19" s="3" t="s">
        <v>120</v>
      </c>
    </row>
    <row r="20" ht="14.25" customHeight="1">
      <c r="B20" s="2">
        <v>17.0</v>
      </c>
      <c r="C20" s="3" t="s">
        <v>186</v>
      </c>
      <c r="D20" s="3">
        <v>10.0</v>
      </c>
      <c r="E20" s="3" t="s">
        <v>121</v>
      </c>
    </row>
    <row r="21" ht="14.25" customHeight="1">
      <c r="B21" s="2">
        <v>18.0</v>
      </c>
      <c r="C21" s="3" t="s">
        <v>187</v>
      </c>
      <c r="D21" s="3">
        <v>100.0</v>
      </c>
      <c r="E21" s="3" t="s">
        <v>121</v>
      </c>
    </row>
    <row r="22" ht="14.25" customHeight="1">
      <c r="B22" s="2">
        <v>19.0</v>
      </c>
      <c r="C22" s="3" t="s">
        <v>188</v>
      </c>
      <c r="D22" s="3">
        <v>10.0</v>
      </c>
      <c r="E22" s="3" t="s">
        <v>120</v>
      </c>
    </row>
    <row r="23" ht="14.25" customHeight="1">
      <c r="B23" s="2">
        <v>20.0</v>
      </c>
      <c r="C23" s="3" t="s">
        <v>189</v>
      </c>
      <c r="D23" s="3">
        <v>10.0</v>
      </c>
      <c r="E23" s="3" t="s">
        <v>121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5.5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190</v>
      </c>
      <c r="D4" s="3">
        <v>300.0</v>
      </c>
      <c r="E4" s="3" t="s">
        <v>121</v>
      </c>
      <c r="H4" s="2" t="s">
        <v>146</v>
      </c>
      <c r="I4" s="2">
        <f>SUM(D4:D23)/100</f>
        <v>19.6</v>
      </c>
    </row>
    <row r="5" ht="14.25" customHeight="1">
      <c r="B5" s="2">
        <v>2.0</v>
      </c>
      <c r="C5" s="3" t="s">
        <v>191</v>
      </c>
      <c r="D5" s="3">
        <v>110.0</v>
      </c>
      <c r="E5" s="3" t="s">
        <v>121</v>
      </c>
      <c r="H5" s="2" t="s">
        <v>149</v>
      </c>
      <c r="I5" s="2">
        <f>I3-I4</f>
        <v>0.4</v>
      </c>
    </row>
    <row r="6" ht="14.25" customHeight="1">
      <c r="B6" s="2">
        <v>3.0</v>
      </c>
      <c r="C6" s="3" t="s">
        <v>192</v>
      </c>
      <c r="D6" s="3">
        <v>70.0</v>
      </c>
      <c r="E6" s="3" t="s">
        <v>121</v>
      </c>
    </row>
    <row r="7" ht="14.25" customHeight="1">
      <c r="B7" s="2">
        <v>4.0</v>
      </c>
      <c r="C7" s="3" t="s">
        <v>193</v>
      </c>
      <c r="D7" s="3">
        <v>360.0</v>
      </c>
      <c r="E7" s="3" t="s">
        <v>120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194</v>
      </c>
      <c r="D8" s="3">
        <v>250.0</v>
      </c>
      <c r="E8" s="3" t="s">
        <v>122</v>
      </c>
      <c r="H8" s="2" t="s">
        <v>120</v>
      </c>
      <c r="I8" s="2">
        <f t="shared" ref="I8:I11" si="1">COUNTIF($E$4:$E$23,H8)</f>
        <v>7</v>
      </c>
      <c r="J8" s="2">
        <v>5.0</v>
      </c>
    </row>
    <row r="9" ht="14.25" customHeight="1">
      <c r="B9" s="2">
        <v>6.0</v>
      </c>
      <c r="C9" s="3" t="s">
        <v>195</v>
      </c>
      <c r="D9" s="3">
        <v>80.0</v>
      </c>
      <c r="E9" s="3" t="s">
        <v>120</v>
      </c>
      <c r="H9" s="2" t="s">
        <v>121</v>
      </c>
      <c r="I9" s="2">
        <f t="shared" si="1"/>
        <v>7</v>
      </c>
      <c r="J9" s="2">
        <v>4.0</v>
      </c>
    </row>
    <row r="10" ht="14.25" customHeight="1">
      <c r="B10" s="2">
        <v>7.0</v>
      </c>
      <c r="C10" s="3" t="s">
        <v>196</v>
      </c>
      <c r="D10" s="3">
        <v>130.0</v>
      </c>
      <c r="E10" s="3" t="s">
        <v>148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197</v>
      </c>
      <c r="D11" s="3">
        <v>10.0</v>
      </c>
      <c r="E11" s="3" t="s">
        <v>121</v>
      </c>
      <c r="H11" s="2" t="s">
        <v>148</v>
      </c>
      <c r="I11" s="2">
        <f t="shared" si="1"/>
        <v>5</v>
      </c>
      <c r="J11" s="2"/>
    </row>
    <row r="12" ht="14.25" customHeight="1">
      <c r="B12" s="2">
        <v>9.0</v>
      </c>
      <c r="C12" s="3" t="s">
        <v>198</v>
      </c>
      <c r="D12" s="3">
        <v>230.0</v>
      </c>
      <c r="E12" s="3" t="s">
        <v>120</v>
      </c>
    </row>
    <row r="13" ht="14.25" customHeight="1">
      <c r="B13" s="2">
        <v>10.0</v>
      </c>
      <c r="C13" s="3" t="s">
        <v>199</v>
      </c>
      <c r="D13" s="3">
        <v>40.0</v>
      </c>
      <c r="E13" s="3" t="s">
        <v>148</v>
      </c>
    </row>
    <row r="14" ht="14.25" customHeight="1">
      <c r="B14" s="2">
        <v>11.0</v>
      </c>
      <c r="C14" s="3" t="s">
        <v>200</v>
      </c>
      <c r="D14" s="3">
        <v>50.0</v>
      </c>
      <c r="E14" s="3" t="s">
        <v>148</v>
      </c>
    </row>
    <row r="15" ht="14.25" customHeight="1">
      <c r="B15" s="2">
        <v>12.0</v>
      </c>
      <c r="C15" s="3" t="s">
        <v>201</v>
      </c>
      <c r="D15" s="3">
        <v>50.0</v>
      </c>
      <c r="E15" s="3" t="s">
        <v>120</v>
      </c>
    </row>
    <row r="16" ht="14.25" customHeight="1">
      <c r="B16" s="2">
        <v>13.0</v>
      </c>
      <c r="C16" s="3" t="s">
        <v>202</v>
      </c>
      <c r="D16" s="3">
        <v>10.0</v>
      </c>
      <c r="E16" s="3" t="s">
        <v>120</v>
      </c>
    </row>
    <row r="17" ht="14.25" customHeight="1">
      <c r="B17" s="2">
        <v>14.0</v>
      </c>
      <c r="C17" s="3" t="s">
        <v>203</v>
      </c>
      <c r="D17" s="3">
        <v>60.0</v>
      </c>
      <c r="E17" s="3" t="s">
        <v>120</v>
      </c>
    </row>
    <row r="18" ht="14.25" customHeight="1">
      <c r="B18" s="2">
        <v>15.0</v>
      </c>
      <c r="C18" s="3" t="s">
        <v>204</v>
      </c>
      <c r="D18" s="3">
        <v>100.0</v>
      </c>
      <c r="E18" s="3" t="s">
        <v>148</v>
      </c>
    </row>
    <row r="19" ht="14.25" customHeight="1">
      <c r="B19" s="2">
        <v>16.0</v>
      </c>
      <c r="C19" s="3" t="s">
        <v>205</v>
      </c>
      <c r="D19" s="3">
        <v>10.0</v>
      </c>
      <c r="E19" s="3" t="s">
        <v>121</v>
      </c>
    </row>
    <row r="20" ht="14.25" customHeight="1">
      <c r="B20" s="2">
        <v>17.0</v>
      </c>
      <c r="C20" s="3" t="s">
        <v>206</v>
      </c>
      <c r="D20" s="3">
        <v>30.0</v>
      </c>
      <c r="E20" s="3" t="s">
        <v>121</v>
      </c>
    </row>
    <row r="21" ht="14.25" customHeight="1">
      <c r="B21" s="2">
        <v>18.0</v>
      </c>
      <c r="C21" s="8" t="s">
        <v>207</v>
      </c>
      <c r="D21" s="3">
        <v>40.0</v>
      </c>
      <c r="E21" s="3" t="s">
        <v>120</v>
      </c>
    </row>
    <row r="22" ht="14.25" customHeight="1">
      <c r="B22" s="2">
        <v>19.0</v>
      </c>
      <c r="C22" s="3" t="s">
        <v>208</v>
      </c>
      <c r="D22" s="3">
        <v>20.0</v>
      </c>
      <c r="E22" s="3" t="s">
        <v>148</v>
      </c>
    </row>
    <row r="23" ht="14.25" customHeight="1">
      <c r="B23" s="2">
        <v>20.0</v>
      </c>
      <c r="C23" s="3" t="s">
        <v>209</v>
      </c>
      <c r="D23" s="3">
        <v>10.0</v>
      </c>
      <c r="E23" s="3" t="s">
        <v>121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210</v>
      </c>
      <c r="D4" s="3">
        <v>220.0</v>
      </c>
      <c r="E4" s="3" t="s">
        <v>120</v>
      </c>
      <c r="H4" s="2" t="s">
        <v>146</v>
      </c>
      <c r="I4" s="2">
        <f>SUM(D4:D23)/100</f>
        <v>18.6</v>
      </c>
    </row>
    <row r="5" ht="14.25" customHeight="1">
      <c r="B5" s="2">
        <v>2.0</v>
      </c>
      <c r="C5" s="3" t="s">
        <v>211</v>
      </c>
      <c r="D5" s="3">
        <v>200.0</v>
      </c>
      <c r="E5" s="3" t="s">
        <v>148</v>
      </c>
      <c r="H5" s="2" t="s">
        <v>149</v>
      </c>
      <c r="I5" s="2">
        <f>I3-I4</f>
        <v>1.4</v>
      </c>
    </row>
    <row r="6" ht="14.25" customHeight="1">
      <c r="B6" s="2">
        <v>3.0</v>
      </c>
      <c r="C6" s="3" t="s">
        <v>212</v>
      </c>
      <c r="D6" s="3">
        <v>150.0</v>
      </c>
      <c r="E6" s="3" t="s">
        <v>122</v>
      </c>
    </row>
    <row r="7" ht="14.25" customHeight="1">
      <c r="B7" s="2">
        <v>4.0</v>
      </c>
      <c r="C7" s="3" t="s">
        <v>213</v>
      </c>
      <c r="D7" s="3">
        <v>80.0</v>
      </c>
      <c r="E7" s="3" t="s">
        <v>120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214</v>
      </c>
      <c r="D8" s="3">
        <v>10.0</v>
      </c>
      <c r="E8" s="3" t="s">
        <v>120</v>
      </c>
      <c r="H8" s="2" t="s">
        <v>120</v>
      </c>
      <c r="I8" s="2">
        <f t="shared" ref="I8:I11" si="1">COUNTIF($E$4:$E$23,H8)</f>
        <v>8</v>
      </c>
      <c r="J8" s="2">
        <v>5.0</v>
      </c>
    </row>
    <row r="9" ht="14.25" customHeight="1">
      <c r="B9" s="2">
        <v>6.0</v>
      </c>
      <c r="C9" s="3" t="s">
        <v>215</v>
      </c>
      <c r="D9" s="3">
        <v>50.0</v>
      </c>
      <c r="E9" s="3" t="s">
        <v>120</v>
      </c>
      <c r="H9" s="2" t="s">
        <v>121</v>
      </c>
      <c r="I9" s="2">
        <f t="shared" si="1"/>
        <v>6</v>
      </c>
      <c r="J9" s="2">
        <v>4.0</v>
      </c>
    </row>
    <row r="10" ht="14.25" customHeight="1">
      <c r="B10" s="2">
        <v>7.0</v>
      </c>
      <c r="C10" s="3" t="s">
        <v>216</v>
      </c>
      <c r="D10" s="3">
        <v>20.0</v>
      </c>
      <c r="E10" s="3" t="s">
        <v>148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217</v>
      </c>
      <c r="D11" s="3">
        <v>70.0</v>
      </c>
      <c r="E11" s="3" t="s">
        <v>121</v>
      </c>
      <c r="H11" s="2" t="s">
        <v>148</v>
      </c>
      <c r="I11" s="2">
        <f t="shared" si="1"/>
        <v>5</v>
      </c>
      <c r="J11" s="2"/>
    </row>
    <row r="12" ht="14.25" customHeight="1">
      <c r="B12" s="2">
        <v>9.0</v>
      </c>
      <c r="C12" s="3" t="s">
        <v>218</v>
      </c>
      <c r="D12" s="3">
        <v>200.0</v>
      </c>
      <c r="E12" s="3" t="s">
        <v>120</v>
      </c>
    </row>
    <row r="13" ht="14.25" customHeight="1">
      <c r="B13" s="2">
        <v>10.0</v>
      </c>
      <c r="C13" s="3" t="s">
        <v>219</v>
      </c>
      <c r="D13" s="3">
        <v>80.0</v>
      </c>
      <c r="E13" s="3" t="s">
        <v>121</v>
      </c>
    </row>
    <row r="14" ht="14.25" customHeight="1">
      <c r="B14" s="2">
        <v>11.0</v>
      </c>
      <c r="C14" s="3" t="s">
        <v>220</v>
      </c>
      <c r="D14" s="3">
        <v>200.0</v>
      </c>
      <c r="E14" s="3" t="s">
        <v>120</v>
      </c>
    </row>
    <row r="15" ht="14.25" customHeight="1">
      <c r="B15" s="2">
        <v>12.0</v>
      </c>
      <c r="C15" s="3" t="s">
        <v>221</v>
      </c>
      <c r="D15" s="3">
        <v>10.0</v>
      </c>
      <c r="E15" s="3" t="s">
        <v>121</v>
      </c>
    </row>
    <row r="16" ht="14.25" customHeight="1">
      <c r="B16" s="2">
        <v>13.0</v>
      </c>
      <c r="C16" s="3" t="s">
        <v>222</v>
      </c>
      <c r="D16" s="3">
        <v>200.0</v>
      </c>
      <c r="E16" s="3" t="s">
        <v>121</v>
      </c>
    </row>
    <row r="17" ht="14.25" customHeight="1">
      <c r="B17" s="2">
        <v>14.0</v>
      </c>
      <c r="C17" s="3" t="s">
        <v>223</v>
      </c>
      <c r="D17" s="3">
        <v>50.0</v>
      </c>
      <c r="E17" s="3" t="s">
        <v>148</v>
      </c>
    </row>
    <row r="18" ht="14.25" customHeight="1">
      <c r="B18" s="2">
        <v>15.0</v>
      </c>
      <c r="C18" s="3" t="s">
        <v>224</v>
      </c>
      <c r="D18" s="3">
        <v>150.0</v>
      </c>
      <c r="E18" s="3" t="s">
        <v>148</v>
      </c>
    </row>
    <row r="19" ht="14.25" customHeight="1">
      <c r="B19" s="2">
        <v>16.0</v>
      </c>
      <c r="C19" s="3" t="s">
        <v>225</v>
      </c>
      <c r="D19" s="3">
        <v>10.0</v>
      </c>
      <c r="E19" s="3" t="s">
        <v>121</v>
      </c>
    </row>
    <row r="20" ht="14.25" customHeight="1">
      <c r="B20" s="2">
        <v>17.0</v>
      </c>
      <c r="C20" s="3" t="s">
        <v>226</v>
      </c>
      <c r="D20" s="3">
        <v>40.0</v>
      </c>
      <c r="E20" s="3" t="s">
        <v>120</v>
      </c>
    </row>
    <row r="21" ht="14.25" customHeight="1">
      <c r="B21" s="2">
        <v>18.0</v>
      </c>
      <c r="C21" s="3" t="s">
        <v>227</v>
      </c>
      <c r="D21" s="3">
        <v>10.0</v>
      </c>
      <c r="E21" s="3" t="s">
        <v>121</v>
      </c>
    </row>
    <row r="22" ht="14.25" customHeight="1">
      <c r="B22" s="2">
        <v>19.0</v>
      </c>
      <c r="C22" s="3" t="s">
        <v>228</v>
      </c>
      <c r="D22" s="3">
        <v>10.0</v>
      </c>
      <c r="E22" s="3" t="s">
        <v>120</v>
      </c>
    </row>
    <row r="23" ht="14.25" customHeight="1">
      <c r="B23" s="2">
        <v>20.0</v>
      </c>
      <c r="C23" s="3" t="s">
        <v>229</v>
      </c>
      <c r="D23" s="3">
        <v>100.0</v>
      </c>
      <c r="E23" s="3" t="s">
        <v>148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230</v>
      </c>
      <c r="D4" s="3">
        <v>40.0</v>
      </c>
      <c r="E4" s="3" t="s">
        <v>122</v>
      </c>
      <c r="H4" s="2" t="s">
        <v>146</v>
      </c>
      <c r="I4" s="2">
        <f>SUM(D4:D23)/100</f>
        <v>19.8</v>
      </c>
    </row>
    <row r="5" ht="14.25" customHeight="1">
      <c r="B5" s="2">
        <v>2.0</v>
      </c>
      <c r="C5" s="3" t="s">
        <v>231</v>
      </c>
      <c r="D5" s="3">
        <v>80.0</v>
      </c>
      <c r="E5" s="3" t="s">
        <v>148</v>
      </c>
      <c r="H5" s="2" t="s">
        <v>149</v>
      </c>
      <c r="I5" s="2">
        <f>I3-I4</f>
        <v>0.2</v>
      </c>
    </row>
    <row r="6" ht="14.25" customHeight="1">
      <c r="B6" s="2">
        <v>3.0</v>
      </c>
      <c r="C6" s="3" t="s">
        <v>232</v>
      </c>
      <c r="D6" s="3">
        <v>220.0</v>
      </c>
      <c r="E6" s="3" t="s">
        <v>121</v>
      </c>
    </row>
    <row r="7" ht="14.25" customHeight="1">
      <c r="B7" s="2">
        <v>4.0</v>
      </c>
      <c r="C7" s="3" t="s">
        <v>233</v>
      </c>
      <c r="D7" s="3">
        <v>70.0</v>
      </c>
      <c r="E7" s="3" t="s">
        <v>148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234</v>
      </c>
      <c r="D8" s="3">
        <v>70.0</v>
      </c>
      <c r="E8" s="3" t="s">
        <v>121</v>
      </c>
      <c r="H8" s="2" t="s">
        <v>120</v>
      </c>
      <c r="I8" s="2">
        <f t="shared" ref="I8:I11" si="1">COUNTIF($E$4:$E$23,H8)</f>
        <v>7</v>
      </c>
      <c r="J8" s="2">
        <v>5.0</v>
      </c>
    </row>
    <row r="9" ht="14.25" customHeight="1">
      <c r="B9" s="2">
        <v>6.0</v>
      </c>
      <c r="C9" s="3" t="s">
        <v>235</v>
      </c>
      <c r="D9" s="3">
        <v>200.0</v>
      </c>
      <c r="E9" s="3" t="s">
        <v>148</v>
      </c>
      <c r="H9" s="2" t="s">
        <v>121</v>
      </c>
      <c r="I9" s="2">
        <f t="shared" si="1"/>
        <v>7</v>
      </c>
      <c r="J9" s="2">
        <v>4.0</v>
      </c>
    </row>
    <row r="10" ht="14.25" customHeight="1">
      <c r="B10" s="2">
        <v>7.0</v>
      </c>
      <c r="C10" s="3" t="s">
        <v>236</v>
      </c>
      <c r="D10" s="3">
        <v>190.0</v>
      </c>
      <c r="E10" s="3" t="s">
        <v>120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237</v>
      </c>
      <c r="D11" s="3">
        <v>40.0</v>
      </c>
      <c r="E11" s="3" t="s">
        <v>148</v>
      </c>
      <c r="H11" s="2" t="s">
        <v>148</v>
      </c>
      <c r="I11" s="2">
        <f t="shared" si="1"/>
        <v>5</v>
      </c>
      <c r="J11" s="2"/>
    </row>
    <row r="12" ht="14.25" customHeight="1">
      <c r="B12" s="2">
        <v>9.0</v>
      </c>
      <c r="C12" s="3" t="s">
        <v>238</v>
      </c>
      <c r="D12" s="3">
        <v>40.0</v>
      </c>
      <c r="E12" s="3" t="s">
        <v>148</v>
      </c>
    </row>
    <row r="13" ht="14.25" customHeight="1">
      <c r="B13" s="2">
        <v>10.0</v>
      </c>
      <c r="C13" s="3" t="s">
        <v>239</v>
      </c>
      <c r="D13" s="3">
        <v>270.0</v>
      </c>
      <c r="E13" s="3" t="s">
        <v>120</v>
      </c>
    </row>
    <row r="14" ht="14.25" customHeight="1">
      <c r="B14" s="2">
        <v>11.0</v>
      </c>
      <c r="C14" s="3" t="s">
        <v>240</v>
      </c>
      <c r="D14" s="3">
        <v>140.0</v>
      </c>
      <c r="E14" s="3" t="s">
        <v>120</v>
      </c>
    </row>
    <row r="15" ht="14.25" customHeight="1">
      <c r="B15" s="2">
        <v>12.0</v>
      </c>
      <c r="C15" s="3" t="s">
        <v>241</v>
      </c>
      <c r="D15" s="3">
        <v>210.0</v>
      </c>
      <c r="E15" s="3" t="s">
        <v>120</v>
      </c>
    </row>
    <row r="16" ht="14.25" customHeight="1">
      <c r="B16" s="2">
        <v>13.0</v>
      </c>
      <c r="C16" s="3" t="s">
        <v>242</v>
      </c>
      <c r="D16" s="3">
        <v>180.0</v>
      </c>
      <c r="E16" s="3" t="s">
        <v>121</v>
      </c>
    </row>
    <row r="17" ht="14.25" customHeight="1">
      <c r="B17" s="2">
        <v>14.0</v>
      </c>
      <c r="C17" s="3" t="s">
        <v>243</v>
      </c>
      <c r="D17" s="3">
        <v>60.0</v>
      </c>
      <c r="E17" s="3" t="s">
        <v>120</v>
      </c>
    </row>
    <row r="18" ht="14.25" customHeight="1">
      <c r="B18" s="2">
        <v>15.0</v>
      </c>
      <c r="C18" s="3" t="s">
        <v>244</v>
      </c>
      <c r="D18" s="3">
        <v>10.0</v>
      </c>
      <c r="E18" s="3" t="s">
        <v>121</v>
      </c>
    </row>
    <row r="19" ht="14.25" customHeight="1">
      <c r="B19" s="2">
        <v>16.0</v>
      </c>
      <c r="C19" s="3" t="s">
        <v>245</v>
      </c>
      <c r="D19" s="3">
        <v>10.0</v>
      </c>
      <c r="E19" s="3" t="s">
        <v>121</v>
      </c>
    </row>
    <row r="20" ht="14.25" customHeight="1">
      <c r="B20" s="2">
        <v>17.0</v>
      </c>
      <c r="C20" s="3" t="s">
        <v>246</v>
      </c>
      <c r="D20" s="3">
        <v>120.0</v>
      </c>
      <c r="E20" s="3" t="s">
        <v>120</v>
      </c>
    </row>
    <row r="21" ht="14.25" customHeight="1">
      <c r="B21" s="2">
        <v>18.0</v>
      </c>
      <c r="C21" s="3" t="s">
        <v>85</v>
      </c>
      <c r="D21" s="3">
        <v>10.0</v>
      </c>
      <c r="E21" s="3" t="s">
        <v>120</v>
      </c>
    </row>
    <row r="22" ht="14.25" customHeight="1">
      <c r="B22" s="2">
        <v>19.0</v>
      </c>
      <c r="C22" s="3" t="s">
        <v>104</v>
      </c>
      <c r="D22" s="3">
        <v>10.0</v>
      </c>
      <c r="E22" s="3" t="s">
        <v>121</v>
      </c>
    </row>
    <row r="23" ht="14.25" customHeight="1">
      <c r="B23" s="2">
        <v>20.0</v>
      </c>
      <c r="C23" s="3" t="s">
        <v>247</v>
      </c>
      <c r="D23" s="3">
        <v>10.0</v>
      </c>
      <c r="E23" s="3" t="s">
        <v>121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248</v>
      </c>
      <c r="D4" s="3">
        <v>130.0</v>
      </c>
      <c r="E4" s="3" t="s">
        <v>120</v>
      </c>
      <c r="H4" s="2" t="s">
        <v>146</v>
      </c>
      <c r="I4" s="2">
        <f>SUM(D4:D23)/100</f>
        <v>18.3</v>
      </c>
    </row>
    <row r="5" ht="14.25" customHeight="1">
      <c r="B5" s="2">
        <v>2.0</v>
      </c>
      <c r="C5" s="3" t="s">
        <v>249</v>
      </c>
      <c r="D5" s="3">
        <v>10.0</v>
      </c>
      <c r="E5" s="3" t="s">
        <v>122</v>
      </c>
      <c r="H5" s="2" t="s">
        <v>149</v>
      </c>
      <c r="I5" s="2">
        <f>I3-I4</f>
        <v>1.7</v>
      </c>
    </row>
    <row r="6" ht="14.25" customHeight="1">
      <c r="B6" s="2">
        <v>3.0</v>
      </c>
      <c r="C6" s="3" t="s">
        <v>250</v>
      </c>
      <c r="D6" s="3">
        <v>390.0</v>
      </c>
      <c r="E6" s="3" t="s">
        <v>120</v>
      </c>
    </row>
    <row r="7" ht="14.25" customHeight="1">
      <c r="B7" s="2">
        <v>4.0</v>
      </c>
      <c r="C7" s="3" t="s">
        <v>251</v>
      </c>
      <c r="D7" s="3">
        <v>40.0</v>
      </c>
      <c r="E7" s="3" t="s">
        <v>121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252</v>
      </c>
      <c r="D8" s="3">
        <v>110.0</v>
      </c>
      <c r="E8" s="3" t="s">
        <v>148</v>
      </c>
      <c r="H8" s="2" t="s">
        <v>120</v>
      </c>
      <c r="I8" s="2">
        <f t="shared" ref="I8:I11" si="1">COUNTIF($E$4:$E$23,H8)</f>
        <v>5</v>
      </c>
      <c r="J8" s="2">
        <v>5.0</v>
      </c>
    </row>
    <row r="9" ht="14.25" customHeight="1">
      <c r="B9" s="2">
        <v>6.0</v>
      </c>
      <c r="C9" s="3" t="s">
        <v>253</v>
      </c>
      <c r="D9" s="3">
        <v>40.0</v>
      </c>
      <c r="E9" s="3" t="s">
        <v>121</v>
      </c>
      <c r="H9" s="2" t="s">
        <v>121</v>
      </c>
      <c r="I9" s="2">
        <f t="shared" si="1"/>
        <v>6</v>
      </c>
      <c r="J9" s="2">
        <v>4.0</v>
      </c>
    </row>
    <row r="10" ht="14.25" customHeight="1">
      <c r="B10" s="2">
        <v>7.0</v>
      </c>
      <c r="C10" s="3" t="s">
        <v>254</v>
      </c>
      <c r="D10" s="3">
        <v>50.0</v>
      </c>
      <c r="E10" s="3" t="s">
        <v>121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255</v>
      </c>
      <c r="D11" s="3">
        <v>150.0</v>
      </c>
      <c r="E11" s="3" t="s">
        <v>148</v>
      </c>
      <c r="H11" s="2" t="s">
        <v>148</v>
      </c>
      <c r="I11" s="2">
        <f t="shared" si="1"/>
        <v>8</v>
      </c>
      <c r="J11" s="2"/>
    </row>
    <row r="12" ht="14.25" customHeight="1">
      <c r="B12" s="2">
        <v>9.0</v>
      </c>
      <c r="C12" s="3" t="s">
        <v>256</v>
      </c>
      <c r="D12" s="3">
        <v>10.0</v>
      </c>
      <c r="E12" s="3" t="s">
        <v>121</v>
      </c>
    </row>
    <row r="13" ht="14.25" customHeight="1">
      <c r="B13" s="2">
        <v>10.0</v>
      </c>
      <c r="C13" s="3" t="s">
        <v>257</v>
      </c>
      <c r="D13" s="3">
        <v>90.0</v>
      </c>
      <c r="E13" s="3" t="s">
        <v>121</v>
      </c>
    </row>
    <row r="14" ht="14.25" customHeight="1">
      <c r="B14" s="2">
        <v>11.0</v>
      </c>
      <c r="C14" s="3" t="s">
        <v>258</v>
      </c>
      <c r="D14" s="3">
        <v>40.0</v>
      </c>
      <c r="E14" s="3" t="s">
        <v>148</v>
      </c>
    </row>
    <row r="15" ht="14.25" customHeight="1">
      <c r="B15" s="2">
        <v>12.0</v>
      </c>
      <c r="C15" s="3" t="s">
        <v>259</v>
      </c>
      <c r="D15" s="3">
        <v>100.0</v>
      </c>
      <c r="E15" s="3" t="s">
        <v>120</v>
      </c>
    </row>
    <row r="16" ht="14.25" customHeight="1">
      <c r="B16" s="2">
        <v>13.0</v>
      </c>
      <c r="C16" s="3" t="s">
        <v>260</v>
      </c>
      <c r="D16" s="3">
        <v>80.0</v>
      </c>
      <c r="E16" s="3" t="s">
        <v>120</v>
      </c>
    </row>
    <row r="17" ht="14.25" customHeight="1">
      <c r="B17" s="2">
        <v>14.0</v>
      </c>
      <c r="C17" s="3" t="s">
        <v>261</v>
      </c>
      <c r="D17" s="3">
        <v>60.0</v>
      </c>
      <c r="E17" s="3" t="s">
        <v>148</v>
      </c>
    </row>
    <row r="18" ht="14.25" customHeight="1">
      <c r="B18" s="2">
        <v>15.0</v>
      </c>
      <c r="C18" s="3" t="s">
        <v>262</v>
      </c>
      <c r="D18" s="3">
        <v>260.0</v>
      </c>
      <c r="E18" s="3" t="s">
        <v>120</v>
      </c>
    </row>
    <row r="19" ht="14.25" customHeight="1">
      <c r="B19" s="2">
        <v>16.0</v>
      </c>
      <c r="C19" s="3" t="s">
        <v>263</v>
      </c>
      <c r="D19" s="3">
        <v>170.0</v>
      </c>
      <c r="E19" s="3" t="s">
        <v>148</v>
      </c>
    </row>
    <row r="20" ht="14.25" customHeight="1">
      <c r="B20" s="2">
        <v>17.0</v>
      </c>
      <c r="C20" s="3" t="s">
        <v>264</v>
      </c>
      <c r="D20" s="3">
        <v>70.0</v>
      </c>
      <c r="E20" s="3" t="s">
        <v>148</v>
      </c>
    </row>
    <row r="21" ht="14.25" customHeight="1">
      <c r="B21" s="2">
        <v>18.0</v>
      </c>
      <c r="C21" s="3" t="s">
        <v>265</v>
      </c>
      <c r="D21" s="3">
        <v>10.0</v>
      </c>
      <c r="E21" s="3" t="s">
        <v>148</v>
      </c>
    </row>
    <row r="22" ht="14.25" customHeight="1">
      <c r="B22" s="2">
        <v>19.0</v>
      </c>
      <c r="C22" s="3" t="s">
        <v>266</v>
      </c>
      <c r="D22" s="3">
        <v>10.0</v>
      </c>
      <c r="E22" s="3" t="s">
        <v>121</v>
      </c>
    </row>
    <row r="23" ht="14.25" customHeight="1">
      <c r="B23" s="2">
        <v>20.0</v>
      </c>
      <c r="C23" s="3" t="s">
        <v>267</v>
      </c>
      <c r="D23" s="3">
        <v>10.0</v>
      </c>
      <c r="E23" s="3" t="s">
        <v>148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3" t="s">
        <v>268</v>
      </c>
      <c r="D4" s="3">
        <v>360.0</v>
      </c>
      <c r="E4" s="3" t="s">
        <v>122</v>
      </c>
      <c r="H4" s="2" t="s">
        <v>146</v>
      </c>
      <c r="I4" s="2">
        <f>SUM(D4:D23)/100</f>
        <v>19.5</v>
      </c>
    </row>
    <row r="5" ht="14.25" customHeight="1">
      <c r="B5" s="2">
        <v>2.0</v>
      </c>
      <c r="C5" s="3" t="s">
        <v>269</v>
      </c>
      <c r="D5" s="3">
        <v>70.0</v>
      </c>
      <c r="E5" s="3" t="s">
        <v>121</v>
      </c>
      <c r="H5" s="2" t="s">
        <v>149</v>
      </c>
      <c r="I5" s="2">
        <f>I3-I4</f>
        <v>0.5</v>
      </c>
    </row>
    <row r="6" ht="14.25" customHeight="1">
      <c r="B6" s="2">
        <v>3.0</v>
      </c>
      <c r="C6" s="3" t="s">
        <v>270</v>
      </c>
      <c r="D6" s="3">
        <v>200.0</v>
      </c>
      <c r="E6" s="3" t="s">
        <v>121</v>
      </c>
    </row>
    <row r="7" ht="14.25" customHeight="1">
      <c r="B7" s="2">
        <v>4.0</v>
      </c>
      <c r="C7" s="3" t="s">
        <v>271</v>
      </c>
      <c r="D7" s="3">
        <v>60.0</v>
      </c>
      <c r="E7" s="3" t="s">
        <v>120</v>
      </c>
      <c r="I7" s="7" t="s">
        <v>152</v>
      </c>
      <c r="J7" s="7" t="s">
        <v>153</v>
      </c>
    </row>
    <row r="8" ht="14.25" customHeight="1">
      <c r="B8" s="2">
        <v>5.0</v>
      </c>
      <c r="C8" s="3" t="s">
        <v>272</v>
      </c>
      <c r="D8" s="3">
        <v>70.0</v>
      </c>
      <c r="E8" s="3" t="s">
        <v>121</v>
      </c>
      <c r="H8" s="2" t="s">
        <v>120</v>
      </c>
      <c r="I8" s="2">
        <f t="shared" ref="I8:I11" si="1">COUNTIF($E$4:$E$23,H8)</f>
        <v>7</v>
      </c>
      <c r="J8" s="2">
        <v>5.0</v>
      </c>
    </row>
    <row r="9" ht="14.25" customHeight="1">
      <c r="B9" s="2">
        <v>6.0</v>
      </c>
      <c r="C9" s="3" t="s">
        <v>273</v>
      </c>
      <c r="D9" s="3">
        <v>50.0</v>
      </c>
      <c r="E9" s="3" t="s">
        <v>148</v>
      </c>
      <c r="H9" s="2" t="s">
        <v>121</v>
      </c>
      <c r="I9" s="2">
        <f t="shared" si="1"/>
        <v>8</v>
      </c>
      <c r="J9" s="2">
        <v>4.0</v>
      </c>
    </row>
    <row r="10" ht="14.25" customHeight="1">
      <c r="B10" s="2">
        <v>7.0</v>
      </c>
      <c r="C10" s="3" t="s">
        <v>274</v>
      </c>
      <c r="D10" s="3">
        <v>100.0</v>
      </c>
      <c r="E10" s="3" t="s">
        <v>121</v>
      </c>
      <c r="H10" s="2" t="s">
        <v>122</v>
      </c>
      <c r="I10" s="2">
        <f t="shared" si="1"/>
        <v>1</v>
      </c>
      <c r="J10" s="2">
        <v>1.0</v>
      </c>
    </row>
    <row r="11" ht="14.25" customHeight="1">
      <c r="B11" s="2">
        <v>8.0</v>
      </c>
      <c r="C11" s="3" t="s">
        <v>275</v>
      </c>
      <c r="D11" s="3">
        <v>40.0</v>
      </c>
      <c r="E11" s="3" t="s">
        <v>148</v>
      </c>
      <c r="H11" s="2" t="s">
        <v>148</v>
      </c>
      <c r="I11" s="2">
        <f t="shared" si="1"/>
        <v>4</v>
      </c>
      <c r="J11" s="2"/>
    </row>
    <row r="12" ht="14.25" customHeight="1">
      <c r="B12" s="2">
        <v>9.0</v>
      </c>
      <c r="C12" s="3" t="s">
        <v>276</v>
      </c>
      <c r="D12" s="3">
        <v>110.0</v>
      </c>
      <c r="E12" s="3" t="s">
        <v>120</v>
      </c>
    </row>
    <row r="13" ht="14.25" customHeight="1">
      <c r="B13" s="2">
        <v>10.0</v>
      </c>
      <c r="C13" s="3" t="s">
        <v>277</v>
      </c>
      <c r="D13" s="3">
        <v>70.0</v>
      </c>
      <c r="E13" s="3" t="s">
        <v>120</v>
      </c>
    </row>
    <row r="14" ht="14.25" customHeight="1">
      <c r="B14" s="2">
        <v>11.0</v>
      </c>
      <c r="C14" s="3" t="s">
        <v>278</v>
      </c>
      <c r="D14" s="3">
        <v>90.0</v>
      </c>
      <c r="E14" s="3" t="s">
        <v>120</v>
      </c>
    </row>
    <row r="15" ht="14.25" customHeight="1">
      <c r="B15" s="2">
        <v>12.0</v>
      </c>
      <c r="C15" s="3" t="s">
        <v>279</v>
      </c>
      <c r="D15" s="3">
        <v>50.0</v>
      </c>
      <c r="E15" s="3" t="s">
        <v>121</v>
      </c>
    </row>
    <row r="16" ht="14.25" customHeight="1">
      <c r="B16" s="2">
        <v>13.0</v>
      </c>
      <c r="C16" s="3" t="s">
        <v>280</v>
      </c>
      <c r="D16" s="3">
        <v>10.0</v>
      </c>
      <c r="E16" s="3" t="s">
        <v>148</v>
      </c>
    </row>
    <row r="17" ht="14.25" customHeight="1">
      <c r="B17" s="2">
        <v>14.0</v>
      </c>
      <c r="C17" s="3" t="s">
        <v>281</v>
      </c>
      <c r="D17" s="3">
        <v>130.0</v>
      </c>
      <c r="E17" s="3" t="s">
        <v>121</v>
      </c>
    </row>
    <row r="18" ht="14.25" customHeight="1">
      <c r="B18" s="2">
        <v>15.0</v>
      </c>
      <c r="C18" s="3" t="s">
        <v>282</v>
      </c>
      <c r="D18" s="3">
        <v>170.0</v>
      </c>
      <c r="E18" s="3" t="s">
        <v>120</v>
      </c>
    </row>
    <row r="19" ht="14.25" customHeight="1">
      <c r="B19" s="2">
        <v>16.0</v>
      </c>
      <c r="C19" s="3" t="s">
        <v>283</v>
      </c>
      <c r="D19" s="3">
        <v>110.0</v>
      </c>
      <c r="E19" s="3" t="s">
        <v>148</v>
      </c>
    </row>
    <row r="20" ht="14.25" customHeight="1">
      <c r="B20" s="2">
        <v>17.0</v>
      </c>
      <c r="C20" s="3" t="s">
        <v>284</v>
      </c>
      <c r="D20" s="3">
        <v>10.0</v>
      </c>
      <c r="E20" s="3" t="s">
        <v>121</v>
      </c>
    </row>
    <row r="21" ht="14.25" customHeight="1">
      <c r="B21" s="2">
        <v>18.0</v>
      </c>
      <c r="C21" s="3" t="s">
        <v>285</v>
      </c>
      <c r="D21" s="3">
        <v>120.0</v>
      </c>
      <c r="E21" s="3" t="s">
        <v>120</v>
      </c>
    </row>
    <row r="22" ht="14.25" customHeight="1">
      <c r="B22" s="2">
        <v>19.0</v>
      </c>
      <c r="C22" s="3" t="s">
        <v>286</v>
      </c>
      <c r="D22" s="3">
        <v>70.0</v>
      </c>
      <c r="E22" s="3" t="s">
        <v>121</v>
      </c>
    </row>
    <row r="23" ht="14.25" customHeight="1">
      <c r="B23" s="2">
        <v>20.0</v>
      </c>
      <c r="C23" s="3" t="s">
        <v>287</v>
      </c>
      <c r="D23" s="3">
        <v>60.0</v>
      </c>
      <c r="E23" s="3" t="s">
        <v>120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4" width="22.75"/>
    <col customWidth="1" min="5" max="7" width="8.63"/>
    <col customWidth="1" min="8" max="8" width="13.38"/>
    <col customWidth="1" min="9" max="26" width="8.63"/>
  </cols>
  <sheetData>
    <row r="1" ht="14.25" customHeight="1"/>
    <row r="2" ht="14.25" customHeight="1"/>
    <row r="3" ht="14.25" customHeight="1">
      <c r="B3" s="2" t="s">
        <v>140</v>
      </c>
      <c r="C3" s="2" t="s">
        <v>141</v>
      </c>
      <c r="D3" s="2" t="s">
        <v>142</v>
      </c>
      <c r="E3" s="2" t="s">
        <v>143</v>
      </c>
      <c r="H3" s="2" t="s">
        <v>144</v>
      </c>
      <c r="I3" s="2">
        <v>20.0</v>
      </c>
    </row>
    <row r="4" ht="14.25" customHeight="1">
      <c r="B4" s="2">
        <v>1.0</v>
      </c>
      <c r="C4" s="4"/>
      <c r="D4" s="4"/>
      <c r="E4" s="4"/>
      <c r="H4" s="2" t="s">
        <v>146</v>
      </c>
      <c r="I4" s="2">
        <f>SUM(D4:D23)/100</f>
        <v>0</v>
      </c>
    </row>
    <row r="5" ht="14.25" customHeight="1">
      <c r="B5" s="2">
        <v>2.0</v>
      </c>
      <c r="C5" s="4"/>
      <c r="D5" s="4"/>
      <c r="E5" s="4"/>
      <c r="H5" s="2" t="s">
        <v>149</v>
      </c>
      <c r="I5" s="2">
        <f>I3-I4</f>
        <v>20</v>
      </c>
    </row>
    <row r="6" ht="14.25" customHeight="1">
      <c r="B6" s="2">
        <v>3.0</v>
      </c>
      <c r="C6" s="4"/>
      <c r="D6" s="4"/>
      <c r="E6" s="4"/>
    </row>
    <row r="7" ht="14.25" customHeight="1">
      <c r="B7" s="2">
        <v>4.0</v>
      </c>
      <c r="C7" s="4"/>
      <c r="D7" s="4"/>
      <c r="E7" s="4"/>
      <c r="I7" s="7" t="s">
        <v>152</v>
      </c>
      <c r="J7" s="7" t="s">
        <v>153</v>
      </c>
    </row>
    <row r="8" ht="14.25" customHeight="1">
      <c r="B8" s="2">
        <v>5.0</v>
      </c>
      <c r="C8" s="4"/>
      <c r="D8" s="4"/>
      <c r="E8" s="4"/>
      <c r="H8" s="2" t="s">
        <v>120</v>
      </c>
      <c r="I8" s="2">
        <f t="shared" ref="I8:I11" si="1">COUNTIF($E$4:$E$23,H8)</f>
        <v>0</v>
      </c>
      <c r="J8" s="2">
        <v>5.0</v>
      </c>
    </row>
    <row r="9" ht="14.25" customHeight="1">
      <c r="B9" s="2">
        <v>6.0</v>
      </c>
      <c r="C9" s="4"/>
      <c r="D9" s="4"/>
      <c r="E9" s="4"/>
      <c r="H9" s="2" t="s">
        <v>121</v>
      </c>
      <c r="I9" s="2">
        <f t="shared" si="1"/>
        <v>0</v>
      </c>
      <c r="J9" s="2">
        <v>4.0</v>
      </c>
    </row>
    <row r="10" ht="14.25" customHeight="1">
      <c r="B10" s="2">
        <v>7.0</v>
      </c>
      <c r="C10" s="4"/>
      <c r="D10" s="4"/>
      <c r="E10" s="4"/>
      <c r="H10" s="2" t="s">
        <v>122</v>
      </c>
      <c r="I10" s="2">
        <f t="shared" si="1"/>
        <v>0</v>
      </c>
      <c r="J10" s="2">
        <v>1.0</v>
      </c>
    </row>
    <row r="11" ht="14.25" customHeight="1">
      <c r="B11" s="2">
        <v>8.0</v>
      </c>
      <c r="C11" s="4"/>
      <c r="D11" s="4"/>
      <c r="E11" s="4"/>
      <c r="H11" s="2" t="s">
        <v>148</v>
      </c>
      <c r="I11" s="2">
        <f t="shared" si="1"/>
        <v>0</v>
      </c>
      <c r="J11" s="2"/>
    </row>
    <row r="12" ht="14.25" customHeight="1">
      <c r="B12" s="2">
        <v>9.0</v>
      </c>
      <c r="C12" s="4"/>
      <c r="D12" s="4"/>
      <c r="E12" s="4"/>
    </row>
    <row r="13" ht="14.25" customHeight="1">
      <c r="B13" s="2">
        <v>10.0</v>
      </c>
      <c r="C13" s="4"/>
      <c r="D13" s="4"/>
      <c r="E13" s="4"/>
    </row>
    <row r="14" ht="14.25" customHeight="1">
      <c r="B14" s="2">
        <v>11.0</v>
      </c>
      <c r="C14" s="4"/>
      <c r="D14" s="4"/>
      <c r="E14" s="4"/>
    </row>
    <row r="15" ht="14.25" customHeight="1">
      <c r="B15" s="2">
        <v>12.0</v>
      </c>
      <c r="C15" s="4"/>
      <c r="D15" s="4"/>
      <c r="E15" s="4"/>
    </row>
    <row r="16" ht="14.25" customHeight="1">
      <c r="B16" s="2">
        <v>13.0</v>
      </c>
      <c r="C16" s="4"/>
      <c r="D16" s="4"/>
      <c r="E16" s="4"/>
    </row>
    <row r="17" ht="14.25" customHeight="1">
      <c r="B17" s="2">
        <v>14.0</v>
      </c>
      <c r="C17" s="4"/>
      <c r="D17" s="4"/>
      <c r="E17" s="4"/>
    </row>
    <row r="18" ht="14.25" customHeight="1">
      <c r="B18" s="2">
        <v>15.0</v>
      </c>
      <c r="C18" s="4"/>
      <c r="D18" s="4"/>
      <c r="E18" s="4"/>
    </row>
    <row r="19" ht="14.25" customHeight="1">
      <c r="B19" s="2">
        <v>16.0</v>
      </c>
      <c r="C19" s="4"/>
      <c r="D19" s="4"/>
      <c r="E19" s="4"/>
    </row>
    <row r="20" ht="14.25" customHeight="1">
      <c r="B20" s="2">
        <v>17.0</v>
      </c>
      <c r="C20" s="4"/>
      <c r="D20" s="4"/>
      <c r="E20" s="4"/>
    </row>
    <row r="21" ht="14.25" customHeight="1">
      <c r="B21" s="2">
        <v>18.0</v>
      </c>
      <c r="C21" s="4"/>
      <c r="D21" s="4"/>
      <c r="E21" s="4"/>
    </row>
    <row r="22" ht="14.25" customHeight="1">
      <c r="B22" s="2">
        <v>19.0</v>
      </c>
      <c r="C22" s="4"/>
      <c r="D22" s="4"/>
      <c r="E22" s="4"/>
    </row>
    <row r="23" ht="14.25" customHeight="1">
      <c r="B23" s="2">
        <v>20.0</v>
      </c>
      <c r="C23" s="4"/>
      <c r="D23" s="4"/>
      <c r="E23" s="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4:E23">
      <formula1>$H$8:$H$11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2024-03-09T16:24:09Z</dcterms:created>
  <dc:creator>Yeshwant V</dc:creator>
</cp:coreProperties>
</file>